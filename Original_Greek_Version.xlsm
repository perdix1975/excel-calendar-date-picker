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C:\Users\perdi\Desktop\"/>
    </mc:Choice>
  </mc:AlternateContent>
  <xr:revisionPtr revIDLastSave="0" documentId="13_ncr:1_{8EEF00F0-0ED1-4C31-B58B-338BD59A27B9}" xr6:coauthVersionLast="47" xr6:coauthVersionMax="47" xr10:uidLastSave="{00000000-0000-0000-0000-000000000000}"/>
  <bookViews>
    <workbookView xWindow="-108" yWindow="-108" windowWidth="23256" windowHeight="12456" activeTab="1" xr2:uid="{00000000-000D-0000-FFFF-FFFF00000000}"/>
  </bookViews>
  <sheets>
    <sheet name="ΣΥΝΟΨΗ" sheetId="1" r:id="rId1"/>
    <sheet name="ΗΛΕΚΤΡΟΝΙΚΕΣ ΜΕΤΡΗΣΕΙΣ" sheetId="2" r:id="rId2"/>
    <sheet name="ΣΥΣΤΗΜΑΤΑ ΑΣΦΑΛΕΙΑΣ" sheetId="3" r:id="rId3"/>
    <sheet name="ΔΙΚΤΥΑ ΥΠΟΛΟΓΙΣΤΩΝ" sheetId="4" r:id="rId4"/>
    <sheet name="ΠΡΑΚΤΙΚΗ ΕΦΑΡΜΟΓΗ"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1" i="5" l="1"/>
  <c r="D21" i="5"/>
  <c r="C21" i="5"/>
  <c r="H20" i="5"/>
  <c r="N20" i="1" s="1"/>
  <c r="D20" i="5"/>
  <c r="C20" i="5"/>
  <c r="H19" i="5"/>
  <c r="C19" i="5"/>
  <c r="D19" i="5" s="1"/>
  <c r="H18" i="5"/>
  <c r="C18" i="5"/>
  <c r="D18" i="5" s="1"/>
  <c r="H17" i="5"/>
  <c r="C17" i="5"/>
  <c r="D17" i="5" s="1"/>
  <c r="H16" i="5"/>
  <c r="C16" i="5"/>
  <c r="D16" i="5" s="1"/>
  <c r="H15" i="5"/>
  <c r="D15" i="5"/>
  <c r="C15" i="5"/>
  <c r="H14" i="5"/>
  <c r="D14" i="5"/>
  <c r="C14" i="5"/>
  <c r="H13" i="5"/>
  <c r="C13" i="5"/>
  <c r="D13" i="5" s="1"/>
  <c r="H12" i="5"/>
  <c r="C12" i="5"/>
  <c r="D12" i="5" s="1"/>
  <c r="H11" i="5"/>
  <c r="C11" i="5"/>
  <c r="D11" i="5" s="1"/>
  <c r="H10" i="5"/>
  <c r="C10" i="5"/>
  <c r="D10" i="5" s="1"/>
  <c r="H9" i="5"/>
  <c r="C9" i="5"/>
  <c r="D9" i="5" s="1"/>
  <c r="H8" i="5"/>
  <c r="C8" i="5"/>
  <c r="D8" i="5" s="1"/>
  <c r="H7" i="5"/>
  <c r="D7" i="5"/>
  <c r="C7" i="5"/>
  <c r="H6" i="5"/>
  <c r="D6" i="5"/>
  <c r="C6" i="5"/>
  <c r="H5" i="5"/>
  <c r="D5" i="5"/>
  <c r="C5" i="5"/>
  <c r="H21" i="4"/>
  <c r="C21" i="4"/>
  <c r="D21" i="4" s="1"/>
  <c r="H20" i="4"/>
  <c r="K20" i="1" s="1"/>
  <c r="D20" i="4"/>
  <c r="C20" i="4"/>
  <c r="H19" i="4"/>
  <c r="C19" i="4"/>
  <c r="D19" i="4" s="1"/>
  <c r="H18" i="4"/>
  <c r="C18" i="4"/>
  <c r="D18" i="4" s="1"/>
  <c r="H17" i="4"/>
  <c r="C17" i="4"/>
  <c r="D17" i="4" s="1"/>
  <c r="H16" i="4"/>
  <c r="D16" i="4"/>
  <c r="C16" i="4"/>
  <c r="H15" i="4"/>
  <c r="D15" i="4"/>
  <c r="C15" i="4"/>
  <c r="H14" i="4"/>
  <c r="D14" i="4"/>
  <c r="C14" i="4"/>
  <c r="H13" i="4"/>
  <c r="C13" i="4"/>
  <c r="D13" i="4" s="1"/>
  <c r="H12" i="4"/>
  <c r="D12" i="4"/>
  <c r="C12" i="4"/>
  <c r="H11" i="4"/>
  <c r="C11" i="4"/>
  <c r="D11" i="4" s="1"/>
  <c r="H10" i="4"/>
  <c r="C10" i="4"/>
  <c r="D10" i="4" s="1"/>
  <c r="H9" i="4"/>
  <c r="C9" i="4"/>
  <c r="D9" i="4" s="1"/>
  <c r="H8" i="4"/>
  <c r="D8" i="4"/>
  <c r="C8" i="4"/>
  <c r="H7" i="4"/>
  <c r="D7" i="4"/>
  <c r="C7" i="4"/>
  <c r="H6" i="4"/>
  <c r="D6" i="4"/>
  <c r="C6" i="4"/>
  <c r="H5" i="4"/>
  <c r="C5" i="4"/>
  <c r="D5" i="4" s="1"/>
  <c r="H21" i="3"/>
  <c r="D21" i="3"/>
  <c r="C21" i="3"/>
  <c r="H20" i="3"/>
  <c r="C20" i="3"/>
  <c r="D20" i="3" s="1"/>
  <c r="H19" i="3"/>
  <c r="C19" i="3"/>
  <c r="D19" i="3" s="1"/>
  <c r="H18" i="3"/>
  <c r="C18" i="3"/>
  <c r="D18" i="3" s="1"/>
  <c r="H17" i="3"/>
  <c r="D17" i="3"/>
  <c r="C17" i="3"/>
  <c r="H16" i="3"/>
  <c r="D16" i="3"/>
  <c r="C16" i="3"/>
  <c r="H15" i="3"/>
  <c r="D15" i="3"/>
  <c r="C15" i="3"/>
  <c r="H14" i="3"/>
  <c r="C14" i="3"/>
  <c r="D14" i="3" s="1"/>
  <c r="H13" i="3"/>
  <c r="D13" i="3"/>
  <c r="C13" i="3"/>
  <c r="H12" i="3"/>
  <c r="C12" i="3"/>
  <c r="D12" i="3" s="1"/>
  <c r="H11" i="3"/>
  <c r="C11" i="3"/>
  <c r="D11" i="3" s="1"/>
  <c r="H10" i="3"/>
  <c r="C10" i="3"/>
  <c r="D10" i="3" s="1"/>
  <c r="H9" i="3"/>
  <c r="D9" i="3"/>
  <c r="C9" i="3"/>
  <c r="H8" i="3"/>
  <c r="D8" i="3"/>
  <c r="C8" i="3"/>
  <c r="H7" i="3"/>
  <c r="D7" i="3"/>
  <c r="C7" i="3"/>
  <c r="H6" i="3"/>
  <c r="C6" i="3"/>
  <c r="D6" i="3" s="1"/>
  <c r="H5" i="3"/>
  <c r="D5" i="3"/>
  <c r="C5" i="3"/>
  <c r="H21" i="2"/>
  <c r="C21" i="2"/>
  <c r="D21" i="2" s="1"/>
  <c r="H20" i="2"/>
  <c r="C20" i="2"/>
  <c r="D20" i="2" s="1"/>
  <c r="H19" i="2"/>
  <c r="D19" i="2"/>
  <c r="C19" i="2"/>
  <c r="H18" i="2"/>
  <c r="D18" i="2"/>
  <c r="C18" i="2"/>
  <c r="H17" i="2"/>
  <c r="D17" i="2"/>
  <c r="C17" i="2"/>
  <c r="H16" i="2"/>
  <c r="D16" i="2"/>
  <c r="C16" i="2"/>
  <c r="H15" i="2"/>
  <c r="C15" i="2"/>
  <c r="D15" i="2" s="1"/>
  <c r="H14" i="2"/>
  <c r="D14" i="2"/>
  <c r="C14" i="2"/>
  <c r="H13" i="2"/>
  <c r="C13" i="2"/>
  <c r="D13" i="2" s="1"/>
  <c r="H12" i="2"/>
  <c r="C12" i="2"/>
  <c r="D12" i="2" s="1"/>
  <c r="H11" i="2"/>
  <c r="D11" i="2"/>
  <c r="C11" i="2"/>
  <c r="H10" i="2"/>
  <c r="D10" i="2"/>
  <c r="C10" i="2"/>
  <c r="H9" i="2"/>
  <c r="D9" i="2"/>
  <c r="C9" i="2"/>
  <c r="H8" i="2"/>
  <c r="D8" i="2"/>
  <c r="C8" i="2"/>
  <c r="H7" i="2"/>
  <c r="C7" i="2"/>
  <c r="D7" i="2" s="1"/>
  <c r="H6" i="2"/>
  <c r="D6" i="2"/>
  <c r="C6" i="2"/>
  <c r="H5" i="2"/>
  <c r="C5" i="2"/>
  <c r="D5" i="2" s="1"/>
  <c r="M20" i="1"/>
  <c r="L20" i="1"/>
  <c r="J20" i="1"/>
  <c r="I20" i="1"/>
  <c r="H20" i="1"/>
  <c r="G20" i="1"/>
  <c r="E20" i="1"/>
  <c r="D20" i="1"/>
  <c r="N19" i="1"/>
  <c r="M19" i="1"/>
  <c r="L19" i="1"/>
  <c r="K19" i="1"/>
  <c r="I19" i="1"/>
  <c r="H19" i="1"/>
  <c r="F19" i="1"/>
  <c r="E19" i="1"/>
  <c r="D19" i="1"/>
  <c r="C19" i="1"/>
  <c r="N18" i="1"/>
  <c r="M18" i="1"/>
  <c r="L18" i="1"/>
  <c r="K18" i="1"/>
  <c r="J18" i="1"/>
  <c r="I18" i="1"/>
  <c r="H18" i="1"/>
  <c r="G18" i="1"/>
  <c r="F18" i="1"/>
  <c r="E18" i="1"/>
  <c r="D18" i="1"/>
  <c r="C18" i="1"/>
  <c r="N17" i="1"/>
  <c r="M17" i="1"/>
  <c r="L17" i="1"/>
  <c r="K17" i="1"/>
  <c r="J17" i="1"/>
  <c r="I17" i="1"/>
  <c r="H17" i="1"/>
  <c r="G17" i="1"/>
  <c r="F17" i="1"/>
  <c r="E17" i="1"/>
  <c r="D17" i="1"/>
  <c r="C17" i="1"/>
  <c r="N16" i="1"/>
  <c r="M16" i="1"/>
  <c r="L16" i="1"/>
  <c r="K16" i="1"/>
  <c r="J16" i="1"/>
  <c r="I16" i="1"/>
  <c r="H16" i="1"/>
  <c r="G16" i="1"/>
  <c r="F16" i="1"/>
  <c r="E16" i="1"/>
  <c r="D16" i="1"/>
  <c r="C16" i="1"/>
  <c r="N15" i="1"/>
  <c r="M15" i="1"/>
  <c r="L15" i="1"/>
  <c r="K15" i="1"/>
  <c r="J15" i="1"/>
  <c r="I15" i="1"/>
  <c r="H15" i="1"/>
  <c r="G15" i="1"/>
  <c r="F15" i="1"/>
  <c r="E15" i="1"/>
  <c r="D15" i="1"/>
  <c r="C15" i="1"/>
  <c r="N14" i="1"/>
  <c r="M14" i="1"/>
  <c r="L14" i="1"/>
  <c r="K14" i="1"/>
  <c r="J14" i="1"/>
  <c r="I14" i="1"/>
  <c r="H14" i="1"/>
  <c r="G14" i="1"/>
  <c r="F14" i="1"/>
  <c r="E14" i="1"/>
  <c r="D14" i="1"/>
  <c r="C14" i="1"/>
  <c r="N13" i="1"/>
  <c r="M13" i="1"/>
  <c r="L13" i="1"/>
  <c r="K13" i="1"/>
  <c r="J13" i="1"/>
  <c r="I13" i="1"/>
  <c r="H13" i="1"/>
  <c r="G13" i="1"/>
  <c r="F13" i="1"/>
  <c r="E13" i="1"/>
  <c r="D13" i="1"/>
  <c r="C13" i="1"/>
  <c r="N12" i="1"/>
  <c r="M12" i="1"/>
  <c r="L12" i="1"/>
  <c r="K12" i="1"/>
  <c r="J12" i="1"/>
  <c r="I12" i="1"/>
  <c r="H12" i="1"/>
  <c r="G12" i="1"/>
  <c r="F12" i="1"/>
  <c r="E12" i="1"/>
  <c r="D12" i="1"/>
  <c r="C12" i="1"/>
  <c r="N11" i="1"/>
  <c r="M11" i="1"/>
  <c r="L11" i="1"/>
  <c r="K11" i="1"/>
  <c r="J11" i="1"/>
  <c r="I11" i="1"/>
  <c r="H11" i="1"/>
  <c r="G11" i="1"/>
  <c r="F11" i="1"/>
  <c r="E11" i="1"/>
  <c r="D11" i="1"/>
  <c r="C11" i="1"/>
  <c r="N10" i="1"/>
  <c r="M10" i="1"/>
  <c r="L10" i="1"/>
  <c r="K10" i="1"/>
  <c r="J10" i="1"/>
  <c r="I10" i="1"/>
  <c r="H10" i="1"/>
  <c r="G10" i="1"/>
  <c r="F10" i="1"/>
  <c r="E10" i="1"/>
  <c r="D10" i="1"/>
  <c r="C10" i="1"/>
  <c r="N9" i="1"/>
  <c r="M9" i="1"/>
  <c r="L9" i="1"/>
  <c r="K9" i="1"/>
  <c r="J9" i="1"/>
  <c r="I9" i="1"/>
  <c r="H9" i="1"/>
  <c r="G9" i="1"/>
  <c r="F9" i="1"/>
  <c r="E9" i="1"/>
  <c r="D9" i="1"/>
  <c r="C9" i="1"/>
  <c r="N8" i="1"/>
  <c r="M8" i="1"/>
  <c r="L8" i="1"/>
  <c r="K8" i="1"/>
  <c r="J8" i="1"/>
  <c r="I8" i="1"/>
  <c r="H8" i="1"/>
  <c r="G8" i="1"/>
  <c r="F8" i="1"/>
  <c r="E8" i="1"/>
  <c r="D8" i="1"/>
  <c r="C8" i="1"/>
  <c r="N7" i="1"/>
  <c r="M7" i="1"/>
  <c r="L7" i="1"/>
  <c r="K7" i="1"/>
  <c r="J7" i="1"/>
  <c r="I7" i="1"/>
  <c r="H7" i="1"/>
  <c r="G7" i="1"/>
  <c r="F7" i="1"/>
  <c r="E7" i="1"/>
  <c r="D7" i="1"/>
  <c r="C7" i="1"/>
  <c r="N6" i="1"/>
  <c r="M6" i="1"/>
  <c r="L6" i="1"/>
  <c r="K6" i="1"/>
  <c r="J6" i="1"/>
  <c r="I6" i="1"/>
  <c r="H6" i="1"/>
  <c r="G6" i="1"/>
  <c r="F6" i="1"/>
  <c r="E6" i="1"/>
  <c r="D6" i="1"/>
  <c r="C6" i="1"/>
  <c r="N5" i="1"/>
  <c r="M5" i="1"/>
  <c r="L5" i="1"/>
  <c r="K5" i="1"/>
  <c r="J5" i="1"/>
  <c r="I5" i="1"/>
  <c r="H5" i="1"/>
  <c r="G5" i="1"/>
  <c r="F5" i="1"/>
  <c r="E5" i="1"/>
  <c r="D5" i="1"/>
  <c r="C5" i="1"/>
  <c r="N4" i="1"/>
  <c r="M4" i="1"/>
  <c r="L4" i="1"/>
  <c r="K4" i="1"/>
  <c r="J4" i="1"/>
  <c r="I4" i="1"/>
  <c r="H4" i="1"/>
  <c r="G4" i="1"/>
  <c r="F4" i="1"/>
  <c r="E4" i="1"/>
  <c r="D4" i="1"/>
  <c r="C4" i="1"/>
  <c r="G19" i="1" l="1"/>
  <c r="C20" i="1"/>
  <c r="J19" i="1"/>
  <c r="F20" i="1"/>
</calcChain>
</file>

<file path=xl/sharedStrings.xml><?xml version="1.0" encoding="utf-8"?>
<sst xmlns="http://schemas.openxmlformats.org/spreadsheetml/2006/main" count="276" uniqueCount="81">
  <si>
    <t>ΣΥΝΟΠΤΙΚΗ ΠΑΡΑΚΟΛΟΥΘΗΣΗ ΜΑΘΗΤΩΝ</t>
  </si>
  <si>
    <t>Α/Α</t>
  </si>
  <si>
    <t>ΟΝΟΜΑΤΕΠΩΝΥΜΟ</t>
  </si>
  <si>
    <t>ΗΛΕΚΤΡΟΝΙΚΕΣ ΜΕΤΡΗΣΕΙΣ
ΑΠΟΥΣΙΕΣ</t>
  </si>
  <si>
    <t>ΗΛΕΚΤΡΟΝΙΚΕΣ ΜΕΤΡΗΣΕΙΣ
ΚΑΤΑΣΤΑΣΗ</t>
  </si>
  <si>
    <t>ΗΛΕΚΤΡΟΝΙΚΕΣ ΜΕΤΡΗΣΕΙΣ
Τ.Β.</t>
  </si>
  <si>
    <t>ΣΥΣΤΗΜΑΤΑ ΑΣΦΑΛΕΙΑΣ
ΑΠΟΥΣΙΕΣ</t>
  </si>
  <si>
    <t>ΣΥΣΤΗΜΑΤΑ ΑΣΦΑΛΕΙΑΣ
ΚΑΤΑΣΤΑΣΗ</t>
  </si>
  <si>
    <t>ΣΥΣΤΗΜΑΤΑ ΑΣΦΑΛΕΙΑΣ
Τ.Β.</t>
  </si>
  <si>
    <t>ΔΙΚΤΥΑ ΥΠΟΛΟΓΙΣΤΩΝ
ΑΠΟΥΣΙΕΣ</t>
  </si>
  <si>
    <t>ΔΙΚΤΥΑ ΥΠΟΛΟΓΙΣΤΩΝ
ΚΑΤΑΣΤΑΣΗ</t>
  </si>
  <si>
    <t>ΔΙΚΤΥΑ ΥΠΟΛΟΓΙΣΤΩΝ
Τ.Β.</t>
  </si>
  <si>
    <t>ΠΡΑΚΤΙΚΗ ΕΦΑΡΜΟΓΗ
ΑΠΟΥΣΙΕΣ</t>
  </si>
  <si>
    <t>ΠΡΑΚΤΙΚΗ ΕΦΑΡΜΟΓΗ
ΚΑΤΑΣΤΑΣΗ</t>
  </si>
  <si>
    <t>ΠΡΑΚΤΙΚΗ ΕΦΑΡΜΟΓΗ
Τ.Β.</t>
  </si>
  <si>
    <t>Βαρδάκης Γιώργος</t>
  </si>
  <si>
    <t>Βουλελάκης Αλέξανδρος</t>
  </si>
  <si>
    <t>Εγγλέζος Άγγελος</t>
  </si>
  <si>
    <t>Καλαϊτζάκης Ιωάννης</t>
  </si>
  <si>
    <t>Καλαϊτζάκης Χρήστος</t>
  </si>
  <si>
    <t>Κατεργιανάκης Μιχαήλ</t>
  </si>
  <si>
    <t>Κουκάκης Κων/νος</t>
  </si>
  <si>
    <t>Κουρουπάκης Μάνος</t>
  </si>
  <si>
    <t>Κυριακάκης Νίκος</t>
  </si>
  <si>
    <t>Μαθιουδάκης Γιάννης</t>
  </si>
  <si>
    <t>Μαρής Στυλιανός</t>
  </si>
  <si>
    <t>Παντερής Ζαχαρίας</t>
  </si>
  <si>
    <t>Παπαγιαννάκη Πελαγία</t>
  </si>
  <si>
    <t>Σούλα Μάριο</t>
  </si>
  <si>
    <t>Σωμαράκη Δέσποινα</t>
  </si>
  <si>
    <t>Σωμαράκης Ευθύμης</t>
  </si>
  <si>
    <t>Χαρδάκης Κων/νος</t>
  </si>
  <si>
    <t>ΗΛΕΚΤΡΟΝΙΚΕΣ ΚΑΙ ΨΗΦΙΑΚΕΣ ΜΕΤΡΗΣΕΙΣ</t>
  </si>
  <si>
    <t>Τύπος: Εργαστήριο</t>
  </si>
  <si>
    <t>Ώρες/εβδομάδα: 3</t>
  </si>
  <si>
    <t>Εβδομάδες: 15</t>
  </si>
  <si>
    <t>Σύνολο ωρών: 45</t>
  </si>
  <si>
    <t>Max Απουσίες (15%): 7</t>
  </si>
  <si>
    <t>ΣΥΝΟΛΟ
ΑΠΟΥΣΙΩΝ</t>
  </si>
  <si>
    <t>ΑΠΟΜΕΝΟΥΝ</t>
  </si>
  <si>
    <t>ΠΡΟΟΔΟΣ
(30%)</t>
  </si>
  <si>
    <t>ΕΡΓΑΣΙΑ
(10%)</t>
  </si>
  <si>
    <t>ΤΕΛΙΚΗ
(60%)</t>
  </si>
  <si>
    <t>Τ.Β.</t>
  </si>
  <si>
    <t>Ημ/νία 1</t>
  </si>
  <si>
    <t>Απ. 1</t>
  </si>
  <si>
    <t>Ημ/νία 2</t>
  </si>
  <si>
    <t>Απ. 2</t>
  </si>
  <si>
    <t>Ημ/νία 3</t>
  </si>
  <si>
    <t>Απ. 3</t>
  </si>
  <si>
    <t>Ημ/νία 4</t>
  </si>
  <si>
    <t>Απ. 4</t>
  </si>
  <si>
    <t>Ημ/νία 5</t>
  </si>
  <si>
    <t>Απ. 5</t>
  </si>
  <si>
    <t>Ημ/νία 6</t>
  </si>
  <si>
    <t>Απ. 6</t>
  </si>
  <si>
    <t>Ημ/νία 7</t>
  </si>
  <si>
    <t>Απ. 7</t>
  </si>
  <si>
    <t>Ημ/νία 8</t>
  </si>
  <si>
    <t>Απ. 8</t>
  </si>
  <si>
    <t>Ημ/νία 9</t>
  </si>
  <si>
    <t>Απ. 9</t>
  </si>
  <si>
    <t>Ημ/νία 10</t>
  </si>
  <si>
    <t>Απ. 10</t>
  </si>
  <si>
    <t>Ημ/νία 11</t>
  </si>
  <si>
    <t>Απ. 11</t>
  </si>
  <si>
    <t>Ημ/νία 12</t>
  </si>
  <si>
    <t>Απ. 12</t>
  </si>
  <si>
    <t>Ημ/νία 13</t>
  </si>
  <si>
    <t>Απ. 13</t>
  </si>
  <si>
    <t>Ημ/νία 14</t>
  </si>
  <si>
    <t>Απ. 14</t>
  </si>
  <si>
    <t>Ημ/νία 15</t>
  </si>
  <si>
    <t>Απ. 15</t>
  </si>
  <si>
    <t>ΣΥΓΧΡΟΝΕΣ ΤΕΧΝΟΛΟΓΙΕΣ ΣΥΣΤΗΜΑΤΩΝ ΑΣΦΑΛΕΙΑΣ</t>
  </si>
  <si>
    <t>Τύπος: Θεωρία</t>
  </si>
  <si>
    <t>Ώρες/εβδομάδα: 2</t>
  </si>
  <si>
    <t>Σύνολο ωρών: 30</t>
  </si>
  <si>
    <t>Max Απουσίες (15%): 5</t>
  </si>
  <si>
    <t>ΕΙΣΑΓΩΓΗ ΣΤΑ ΔΙΚΤΥΑ ΥΠΟΛΟΓΙΣΤΩΝ</t>
  </si>
  <si>
    <t>ΠΡΑΚΤΙΚΗ ΕΦΑΡΜΟΓΗ ΣΤΗΝ ΕΙΔΙΚΟΤΗΤΑ</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</si>
</sst>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5" x14ac:knownFonts="1">
    <font>
      <sz val="11"/>
      <color theme="1"/>
      <name val="Calibri"/>
      <family val="2"/>
      <scheme val="minor"/>
    </font>
    <font>
      <b/>
      <sz val="14"/>
      <color rgb="FFFFFFFF"/>
      <name val="Calibri"/>
      <family val="2"/>
      <charset val="161"/>
    </font>
    <font>
      <b/>
      <sz val="11"/>
      <color rgb="FFFFFFFF"/>
      <name val="Calibri"/>
      <family val="2"/>
      <charset val="161"/>
    </font>
    <font>
      <b/>
      <sz val="13"/>
      <color rgb="FFFFFFFF"/>
      <name val="Calibri"/>
      <family val="2"/>
      <charset val="161"/>
    </font>
    <font>
      <b/>
      <sz val="9"/>
      <name val="Calibri"/>
      <family val="2"/>
      <charset val="161"/>
    </font>
  </fonts>
  <fills count="7">
    <fill>
      <patternFill patternType="none"/>
    </fill>
    <fill>
      <patternFill patternType="gray125"/>
    </fill>
    <fill>
      <patternFill patternType="solid">
        <fgColor rgb="FF203864"/>
        <bgColor rgb="FF203864"/>
      </patternFill>
    </fill>
    <fill>
      <patternFill patternType="solid">
        <fgColor rgb="FF366092"/>
        <bgColor rgb="FF366092"/>
      </patternFill>
    </fill>
    <fill>
      <patternFill patternType="solid">
        <fgColor rgb="FFE7E6E6"/>
        <bgColor rgb="FFE7E6E6"/>
      </patternFill>
    </fill>
    <fill>
      <patternFill patternType="solid">
        <fgColor rgb="FFE8F4F8"/>
        <bgColor rgb="FFE8F4F8"/>
      </patternFill>
    </fill>
    <fill>
      <patternFill patternType="solid">
        <fgColor rgb="FFF0F0F0"/>
        <bgColor rgb="FFF0F0F0"/>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3">
    <xf numFmtId="0" fontId="0" fillId="0" borderId="0" xfId="0"/>
    <xf numFmtId="0" fontId="2" fillId="3" borderId="1" xfId="0" applyFont="1" applyFill="1" applyBorder="1" applyAlignment="1">
      <alignment horizontal="center" vertical="center" wrapText="1"/>
    </xf>
    <xf numFmtId="1" fontId="0" fillId="0" borderId="0" xfId="0" applyNumberFormat="1"/>
    <xf numFmtId="0" fontId="4" fillId="4" borderId="0" xfId="0" applyFont="1" applyFill="1"/>
    <xf numFmtId="0" fontId="0" fillId="0" borderId="1" xfId="0" applyBorder="1" applyAlignment="1">
      <alignment horizontal="center" vertical="center"/>
    </xf>
    <xf numFmtId="1" fontId="0" fillId="0" borderId="1" xfId="0" applyNumberFormat="1" applyBorder="1" applyAlignment="1">
      <alignment horizontal="center" vertical="center"/>
    </xf>
    <xf numFmtId="164" fontId="0" fillId="5" borderId="1" xfId="0" applyNumberFormat="1" applyFill="1" applyBorder="1" applyAlignment="1">
      <alignment horizontal="center" vertical="center"/>
    </xf>
    <xf numFmtId="0" fontId="0" fillId="5" borderId="1" xfId="0" applyFill="1" applyBorder="1" applyAlignment="1">
      <alignment horizontal="center" vertical="center"/>
    </xf>
    <xf numFmtId="164" fontId="0" fillId="6" borderId="1" xfId="0" applyNumberFormat="1" applyFill="1" applyBorder="1" applyAlignment="1">
      <alignment horizontal="center" vertical="center"/>
    </xf>
    <xf numFmtId="0" fontId="0" fillId="6" borderId="1" xfId="0" applyFill="1" applyBorder="1" applyAlignment="1">
      <alignment horizontal="center" vertical="center"/>
    </xf>
    <xf numFmtId="0" fontId="1" fillId="2" borderId="0" xfId="0" applyFont="1" applyFill="1" applyAlignment="1">
      <alignment horizontal="center" vertical="center" wrapText="1"/>
    </xf>
    <xf numFmtId="0" fontId="0" fillId="0" borderId="0" xfId="0"/>
    <xf numFmtId="0" fontId="3" fillId="2" borderId="0" xfId="0" applyFont="1" applyFill="1" applyAlignment="1">
      <alignment horizontal="center" vertical="center" wrapText="1"/>
    </xf>
  </cellXfs>
  <cellStyles count="1">
    <cellStyle name="Normal" xfId="0" builtinId="0"/>
  </cellStyles>
  <dxfs count="24">
    <dxf>
      <fill>
        <patternFill patternType="solid">
          <fgColor rgb="FFC6EFCE"/>
          <bgColor rgb="FFC6EFCE"/>
        </patternFill>
      </fill>
    </dxf>
    <dxf>
      <fill>
        <patternFill patternType="solid">
          <fgColor rgb="FFFFEB9C"/>
          <bgColor rgb="FFFFEB9C"/>
        </patternFill>
      </fill>
    </dxf>
    <dxf>
      <fill>
        <patternFill patternType="solid">
          <fgColor rgb="FFFFC7CE"/>
          <bgColor rgb="FFFFC7CE"/>
        </patternFill>
      </fill>
    </dxf>
    <dxf>
      <fill>
        <patternFill patternType="solid">
          <fgColor rgb="FFC6EFCE"/>
          <bgColor rgb="FFC6EFCE"/>
        </patternFill>
      </fill>
    </dxf>
    <dxf>
      <fill>
        <patternFill patternType="solid">
          <fgColor rgb="FFFFEB9C"/>
          <bgColor rgb="FFFFEB9C"/>
        </patternFill>
      </fill>
    </dxf>
    <dxf>
      <fill>
        <patternFill patternType="solid">
          <fgColor rgb="FFFFC7CE"/>
          <bgColor rgb="FFFFC7CE"/>
        </patternFill>
      </fill>
    </dxf>
    <dxf>
      <fill>
        <patternFill patternType="solid">
          <fgColor rgb="FFC6EFCE"/>
          <bgColor rgb="FFC6EFCE"/>
        </patternFill>
      </fill>
    </dxf>
    <dxf>
      <fill>
        <patternFill patternType="solid">
          <fgColor rgb="FFFFEB9C"/>
          <bgColor rgb="FFFFEB9C"/>
        </patternFill>
      </fill>
    </dxf>
    <dxf>
      <fill>
        <patternFill patternType="solid">
          <fgColor rgb="FFFFC7CE"/>
          <bgColor rgb="FFFFC7CE"/>
        </patternFill>
      </fill>
    </dxf>
    <dxf>
      <fill>
        <patternFill patternType="solid">
          <fgColor rgb="FFC6EFCE"/>
          <bgColor rgb="FFC6EFCE"/>
        </patternFill>
      </fill>
    </dxf>
    <dxf>
      <fill>
        <patternFill patternType="solid">
          <fgColor rgb="FFFFEB9C"/>
          <bgColor rgb="FFFFEB9C"/>
        </patternFill>
      </fill>
    </dxf>
    <dxf>
      <fill>
        <patternFill patternType="solid">
          <fgColor rgb="FFFFC7CE"/>
          <bgColor rgb="FFFFC7CE"/>
        </patternFill>
      </fill>
    </dxf>
    <dxf>
      <fill>
        <patternFill patternType="solid">
          <fgColor rgb="FFC6EFCE"/>
          <bgColor rgb="FFC6EFCE"/>
        </patternFill>
      </fill>
    </dxf>
    <dxf>
      <fill>
        <patternFill patternType="solid">
          <fgColor rgb="FFFFEB9C"/>
          <bgColor rgb="FFFFEB9C"/>
        </patternFill>
      </fill>
    </dxf>
    <dxf>
      <fill>
        <patternFill patternType="solid">
          <fgColor rgb="FFFFC7CE"/>
          <bgColor rgb="FFFFC7CE"/>
        </patternFill>
      </fill>
    </dxf>
    <dxf>
      <fill>
        <patternFill patternType="solid">
          <fgColor rgb="FFC6EFCE"/>
          <bgColor rgb="FFC6EFCE"/>
        </patternFill>
      </fill>
    </dxf>
    <dxf>
      <fill>
        <patternFill patternType="solid">
          <fgColor rgb="FFFFEB9C"/>
          <bgColor rgb="FFFFEB9C"/>
        </patternFill>
      </fill>
    </dxf>
    <dxf>
      <fill>
        <patternFill patternType="solid">
          <fgColor rgb="FFFFC7CE"/>
          <bgColor rgb="FFFFC7CE"/>
        </patternFill>
      </fill>
    </dxf>
    <dxf>
      <fill>
        <patternFill patternType="solid">
          <fgColor rgb="FFC6EFCE"/>
          <bgColor rgb="FFC6EFCE"/>
        </patternFill>
      </fill>
    </dxf>
    <dxf>
      <fill>
        <patternFill patternType="solid">
          <fgColor rgb="FFFFEB9C"/>
          <bgColor rgb="FFFFEB9C"/>
        </patternFill>
      </fill>
    </dxf>
    <dxf>
      <fill>
        <patternFill patternType="solid">
          <fgColor rgb="FFFFC7CE"/>
          <bgColor rgb="FFFFC7CE"/>
        </patternFill>
      </fill>
    </dxf>
    <dxf>
      <fill>
        <patternFill patternType="solid">
          <fgColor rgb="FFC6EFCE"/>
          <bgColor rgb="FFC6EFCE"/>
        </patternFill>
      </fill>
    </dxf>
    <dxf>
      <fill>
        <patternFill patternType="solid">
          <fgColor rgb="FFFFEB9C"/>
          <bgColor rgb="FFFFEB9C"/>
        </patternFill>
      </fill>
    </dxf>
    <dxf>
      <fill>
        <patternFill patternType="solid">
          <fgColor rgb="FFFFC7CE"/>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Q20"/>
  <sheetViews>
    <sheetView workbookViewId="0">
      <selection sqref="A1:Q1"/>
    </sheetView>
  </sheetViews>
  <sheetFormatPr defaultRowHeight="14.4" x14ac:dyDescent="0.3"/>
  <cols>
    <col min="1" max="1" width="5" customWidth="1"/>
    <col min="2" max="2" width="25" customWidth="1"/>
    <col min="3" max="17" width="12" customWidth="1"/>
  </cols>
  <sheetData>
    <row r="1" spans="1:17" x14ac:dyDescent="0.3">
      <c r="A1" s="10" t="s">
        <v>0</v>
      </c>
      <c r="B1" s="11"/>
      <c r="C1" s="11"/>
      <c r="D1" s="11"/>
      <c r="E1" s="11"/>
      <c r="F1" s="11"/>
      <c r="G1" s="11"/>
      <c r="H1" s="11"/>
      <c r="I1" s="11"/>
      <c r="J1" s="11"/>
      <c r="K1" s="11"/>
      <c r="L1" s="11"/>
      <c r="M1" s="11"/>
      <c r="N1" s="11"/>
      <c r="O1" s="11"/>
      <c r="P1" s="11"/>
      <c r="Q1" s="11"/>
    </row>
    <row r="3" spans="1:17" ht="57.6" x14ac:dyDescent="0.3">
      <c r="A3" s="1" t="s">
        <v>1</v>
      </c>
      <c r="B3" s="1" t="s">
        <v>2</v>
      </c>
      <c r="C3" s="1" t="s">
        <v>3</v>
      </c>
      <c r="D3" s="1" t="s">
        <v>4</v>
      </c>
      <c r="E3" s="1" t="s">
        <v>5</v>
      </c>
      <c r="F3" s="1" t="s">
        <v>6</v>
      </c>
      <c r="G3" s="1" t="s">
        <v>7</v>
      </c>
      <c r="H3" s="1" t="s">
        <v>8</v>
      </c>
      <c r="I3" s="1" t="s">
        <v>9</v>
      </c>
      <c r="J3" s="1" t="s">
        <v>10</v>
      </c>
      <c r="K3" s="1" t="s">
        <v>11</v>
      </c>
      <c r="L3" s="1" t="s">
        <v>12</v>
      </c>
      <c r="M3" s="1" t="s">
        <v>13</v>
      </c>
      <c r="N3" s="1" t="s">
        <v>14</v>
      </c>
      <c r="O3" s="1"/>
      <c r="P3" s="1"/>
      <c r="Q3" s="1"/>
    </row>
    <row r="4" spans="1:17" x14ac:dyDescent="0.3">
      <c r="A4">
        <v>1</v>
      </c>
      <c r="B4" t="s">
        <v>15</v>
      </c>
      <c r="C4" t="str">
        <f>'ΗΛΕΚΤΡΟΝΙΚΕΣ ΜΕΤΡΗΣΕΙΣ'!C4</f>
        <v>ΣΥΝΟΛΟ
ΑΠΟΥΣΙΩΝ</v>
      </c>
      <c r="D4" s="2" t="e">
        <f>7-'ΗΛΕΚΤΡΟΝΙΚΕΣ ΜΕΤΡΗΣΕΙΣ'!C4</f>
        <v>#VALUE!</v>
      </c>
      <c r="E4" t="str">
        <f>'ΗΛΕΚΤΡΟΝΙΚΕΣ ΜΕΤΡΗΣΕΙΣ'!H4</f>
        <v>Τ.Β.</v>
      </c>
      <c r="F4" t="str">
        <f>'ΣΥΣΤΗΜΑΤΑ ΑΣΦΑΛΕΙΑΣ'!C4</f>
        <v>ΣΥΝΟΛΟ
ΑΠΟΥΣΙΩΝ</v>
      </c>
      <c r="G4" s="2" t="e">
        <f>5-'ΣΥΣΤΗΜΑΤΑ ΑΣΦΑΛΕΙΑΣ'!C4</f>
        <v>#VALUE!</v>
      </c>
      <c r="H4" t="str">
        <f>'ΣΥΣΤΗΜΑΤΑ ΑΣΦΑΛΕΙΑΣ'!H4</f>
        <v>Τ.Β.</v>
      </c>
      <c r="I4" t="str">
        <f>'ΔΙΚΤΥΑ ΥΠΟΛΟΓΙΣΤΩΝ'!C4</f>
        <v>ΣΥΝΟΛΟ
ΑΠΟΥΣΙΩΝ</v>
      </c>
      <c r="J4" s="2" t="e">
        <f>5-'ΔΙΚΤΥΑ ΥΠΟΛΟΓΙΣΤΩΝ'!C4</f>
        <v>#VALUE!</v>
      </c>
      <c r="K4" t="str">
        <f>'ΔΙΚΤΥΑ ΥΠΟΛΟΓΙΣΤΩΝ'!H4</f>
        <v>Τ.Β.</v>
      </c>
      <c r="L4" t="str">
        <f>'ΠΡΑΚΤΙΚΗ ΕΦΑΡΜΟΓΗ'!C4</f>
        <v>ΣΥΝΟΛΟ
ΑΠΟΥΣΙΩΝ</v>
      </c>
      <c r="M4" s="2" t="e">
        <f>7-'ΠΡΑΚΤΙΚΗ ΕΦΑΡΜΟΓΗ'!C4</f>
        <v>#VALUE!</v>
      </c>
      <c r="N4" t="str">
        <f>'ΠΡΑΚΤΙΚΗ ΕΦΑΡΜΟΓΗ'!H4</f>
        <v>Τ.Β.</v>
      </c>
    </row>
    <row r="5" spans="1:17" x14ac:dyDescent="0.3">
      <c r="A5">
        <v>2</v>
      </c>
      <c r="B5" t="s">
        <v>16</v>
      </c>
      <c r="C5">
        <f>'ΗΛΕΚΤΡΟΝΙΚΕΣ ΜΕΤΡΗΣΕΙΣ'!C5</f>
        <v>0</v>
      </c>
      <c r="D5" s="2">
        <f>7-'ΗΛΕΚΤΡΟΝΙΚΕΣ ΜΕΤΡΗΣΕΙΣ'!C5</f>
        <v>7</v>
      </c>
      <c r="E5" t="str">
        <f>'ΗΛΕΚΤΡΟΝΙΚΕΣ ΜΕΤΡΗΣΕΙΣ'!H5</f>
        <v/>
      </c>
      <c r="F5">
        <f>'ΣΥΣΤΗΜΑΤΑ ΑΣΦΑΛΕΙΑΣ'!C5</f>
        <v>0</v>
      </c>
      <c r="G5" s="2">
        <f>5-'ΣΥΣΤΗΜΑΤΑ ΑΣΦΑΛΕΙΑΣ'!C5</f>
        <v>5</v>
      </c>
      <c r="H5" t="str">
        <f>'ΣΥΣΤΗΜΑΤΑ ΑΣΦΑΛΕΙΑΣ'!H5</f>
        <v/>
      </c>
      <c r="I5">
        <f>'ΔΙΚΤΥΑ ΥΠΟΛΟΓΙΣΤΩΝ'!C5</f>
        <v>0</v>
      </c>
      <c r="J5" s="2">
        <f>5-'ΔΙΚΤΥΑ ΥΠΟΛΟΓΙΣΤΩΝ'!C5</f>
        <v>5</v>
      </c>
      <c r="K5" t="str">
        <f>'ΔΙΚΤΥΑ ΥΠΟΛΟΓΙΣΤΩΝ'!H5</f>
        <v/>
      </c>
      <c r="L5">
        <f>'ΠΡΑΚΤΙΚΗ ΕΦΑΡΜΟΓΗ'!C5</f>
        <v>0</v>
      </c>
      <c r="M5" s="2">
        <f>7-'ΠΡΑΚΤΙΚΗ ΕΦΑΡΜΟΓΗ'!C5</f>
        <v>7</v>
      </c>
      <c r="N5" t="str">
        <f>'ΠΡΑΚΤΙΚΗ ΕΦΑΡΜΟΓΗ'!H5</f>
        <v/>
      </c>
    </row>
    <row r="6" spans="1:17" x14ac:dyDescent="0.3">
      <c r="A6">
        <v>3</v>
      </c>
      <c r="B6" t="s">
        <v>17</v>
      </c>
      <c r="C6">
        <f>'ΗΛΕΚΤΡΟΝΙΚΕΣ ΜΕΤΡΗΣΕΙΣ'!C6</f>
        <v>0</v>
      </c>
      <c r="D6" s="2">
        <f>7-'ΗΛΕΚΤΡΟΝΙΚΕΣ ΜΕΤΡΗΣΕΙΣ'!C6</f>
        <v>7</v>
      </c>
      <c r="E6" t="str">
        <f>'ΗΛΕΚΤΡΟΝΙΚΕΣ ΜΕΤΡΗΣΕΙΣ'!H6</f>
        <v/>
      </c>
      <c r="F6">
        <f>'ΣΥΣΤΗΜΑΤΑ ΑΣΦΑΛΕΙΑΣ'!C6</f>
        <v>0</v>
      </c>
      <c r="G6" s="2">
        <f>5-'ΣΥΣΤΗΜΑΤΑ ΑΣΦΑΛΕΙΑΣ'!C6</f>
        <v>5</v>
      </c>
      <c r="H6" t="str">
        <f>'ΣΥΣΤΗΜΑΤΑ ΑΣΦΑΛΕΙΑΣ'!H6</f>
        <v/>
      </c>
      <c r="I6">
        <f>'ΔΙΚΤΥΑ ΥΠΟΛΟΓΙΣΤΩΝ'!C6</f>
        <v>0</v>
      </c>
      <c r="J6" s="2">
        <f>5-'ΔΙΚΤΥΑ ΥΠΟΛΟΓΙΣΤΩΝ'!C6</f>
        <v>5</v>
      </c>
      <c r="K6" t="str">
        <f>'ΔΙΚΤΥΑ ΥΠΟΛΟΓΙΣΤΩΝ'!H6</f>
        <v/>
      </c>
      <c r="L6">
        <f>'ΠΡΑΚΤΙΚΗ ΕΦΑΡΜΟΓΗ'!C6</f>
        <v>0</v>
      </c>
      <c r="M6" s="2">
        <f>7-'ΠΡΑΚΤΙΚΗ ΕΦΑΡΜΟΓΗ'!C6</f>
        <v>7</v>
      </c>
      <c r="N6" t="str">
        <f>'ΠΡΑΚΤΙΚΗ ΕΦΑΡΜΟΓΗ'!H6</f>
        <v/>
      </c>
    </row>
    <row r="7" spans="1:17" x14ac:dyDescent="0.3">
      <c r="A7">
        <v>4</v>
      </c>
      <c r="B7" t="s">
        <v>18</v>
      </c>
      <c r="C7">
        <f>'ΗΛΕΚΤΡΟΝΙΚΕΣ ΜΕΤΡΗΣΕΙΣ'!C7</f>
        <v>0</v>
      </c>
      <c r="D7" s="2">
        <f>7-'ΗΛΕΚΤΡΟΝΙΚΕΣ ΜΕΤΡΗΣΕΙΣ'!C7</f>
        <v>7</v>
      </c>
      <c r="E7" t="str">
        <f>'ΗΛΕΚΤΡΟΝΙΚΕΣ ΜΕΤΡΗΣΕΙΣ'!H7</f>
        <v/>
      </c>
      <c r="F7">
        <f>'ΣΥΣΤΗΜΑΤΑ ΑΣΦΑΛΕΙΑΣ'!C7</f>
        <v>0</v>
      </c>
      <c r="G7" s="2">
        <f>5-'ΣΥΣΤΗΜΑΤΑ ΑΣΦΑΛΕΙΑΣ'!C7</f>
        <v>5</v>
      </c>
      <c r="H7" t="str">
        <f>'ΣΥΣΤΗΜΑΤΑ ΑΣΦΑΛΕΙΑΣ'!H7</f>
        <v/>
      </c>
      <c r="I7">
        <f>'ΔΙΚΤΥΑ ΥΠΟΛΟΓΙΣΤΩΝ'!C7</f>
        <v>0</v>
      </c>
      <c r="J7" s="2">
        <f>5-'ΔΙΚΤΥΑ ΥΠΟΛΟΓΙΣΤΩΝ'!C7</f>
        <v>5</v>
      </c>
      <c r="K7" t="str">
        <f>'ΔΙΚΤΥΑ ΥΠΟΛΟΓΙΣΤΩΝ'!H7</f>
        <v/>
      </c>
      <c r="L7">
        <f>'ΠΡΑΚΤΙΚΗ ΕΦΑΡΜΟΓΗ'!C7</f>
        <v>0</v>
      </c>
      <c r="M7" s="2">
        <f>7-'ΠΡΑΚΤΙΚΗ ΕΦΑΡΜΟΓΗ'!C7</f>
        <v>7</v>
      </c>
      <c r="N7" t="str">
        <f>'ΠΡΑΚΤΙΚΗ ΕΦΑΡΜΟΓΗ'!H7</f>
        <v/>
      </c>
    </row>
    <row r="8" spans="1:17" x14ac:dyDescent="0.3">
      <c r="A8">
        <v>5</v>
      </c>
      <c r="B8" t="s">
        <v>19</v>
      </c>
      <c r="C8">
        <f>'ΗΛΕΚΤΡΟΝΙΚΕΣ ΜΕΤΡΗΣΕΙΣ'!C8</f>
        <v>0</v>
      </c>
      <c r="D8" s="2">
        <f>7-'ΗΛΕΚΤΡΟΝΙΚΕΣ ΜΕΤΡΗΣΕΙΣ'!C8</f>
        <v>7</v>
      </c>
      <c r="E8" t="str">
        <f>'ΗΛΕΚΤΡΟΝΙΚΕΣ ΜΕΤΡΗΣΕΙΣ'!H8</f>
        <v/>
      </c>
      <c r="F8">
        <f>'ΣΥΣΤΗΜΑΤΑ ΑΣΦΑΛΕΙΑΣ'!C8</f>
        <v>0</v>
      </c>
      <c r="G8" s="2">
        <f>5-'ΣΥΣΤΗΜΑΤΑ ΑΣΦΑΛΕΙΑΣ'!C8</f>
        <v>5</v>
      </c>
      <c r="H8" t="str">
        <f>'ΣΥΣΤΗΜΑΤΑ ΑΣΦΑΛΕΙΑΣ'!H8</f>
        <v/>
      </c>
      <c r="I8">
        <f>'ΔΙΚΤΥΑ ΥΠΟΛΟΓΙΣΤΩΝ'!C8</f>
        <v>0</v>
      </c>
      <c r="J8" s="2">
        <f>5-'ΔΙΚΤΥΑ ΥΠΟΛΟΓΙΣΤΩΝ'!C8</f>
        <v>5</v>
      </c>
      <c r="K8" t="str">
        <f>'ΔΙΚΤΥΑ ΥΠΟΛΟΓΙΣΤΩΝ'!H8</f>
        <v/>
      </c>
      <c r="L8">
        <f>'ΠΡΑΚΤΙΚΗ ΕΦΑΡΜΟΓΗ'!C8</f>
        <v>0</v>
      </c>
      <c r="M8" s="2">
        <f>7-'ΠΡΑΚΤΙΚΗ ΕΦΑΡΜΟΓΗ'!C8</f>
        <v>7</v>
      </c>
      <c r="N8" t="str">
        <f>'ΠΡΑΚΤΙΚΗ ΕΦΑΡΜΟΓΗ'!H8</f>
        <v/>
      </c>
    </row>
    <row r="9" spans="1:17" x14ac:dyDescent="0.3">
      <c r="A9">
        <v>6</v>
      </c>
      <c r="B9" t="s">
        <v>20</v>
      </c>
      <c r="C9">
        <f>'ΗΛΕΚΤΡΟΝΙΚΕΣ ΜΕΤΡΗΣΕΙΣ'!C9</f>
        <v>0</v>
      </c>
      <c r="D9" s="2">
        <f>7-'ΗΛΕΚΤΡΟΝΙΚΕΣ ΜΕΤΡΗΣΕΙΣ'!C9</f>
        <v>7</v>
      </c>
      <c r="E9" t="str">
        <f>'ΗΛΕΚΤΡΟΝΙΚΕΣ ΜΕΤΡΗΣΕΙΣ'!H9</f>
        <v/>
      </c>
      <c r="F9">
        <f>'ΣΥΣΤΗΜΑΤΑ ΑΣΦΑΛΕΙΑΣ'!C9</f>
        <v>0</v>
      </c>
      <c r="G9" s="2">
        <f>5-'ΣΥΣΤΗΜΑΤΑ ΑΣΦΑΛΕΙΑΣ'!C9</f>
        <v>5</v>
      </c>
      <c r="H9" t="str">
        <f>'ΣΥΣΤΗΜΑΤΑ ΑΣΦΑΛΕΙΑΣ'!H9</f>
        <v/>
      </c>
      <c r="I9">
        <f>'ΔΙΚΤΥΑ ΥΠΟΛΟΓΙΣΤΩΝ'!C9</f>
        <v>0</v>
      </c>
      <c r="J9" s="2">
        <f>5-'ΔΙΚΤΥΑ ΥΠΟΛΟΓΙΣΤΩΝ'!C9</f>
        <v>5</v>
      </c>
      <c r="K9" t="str">
        <f>'ΔΙΚΤΥΑ ΥΠΟΛΟΓΙΣΤΩΝ'!H9</f>
        <v/>
      </c>
      <c r="L9">
        <f>'ΠΡΑΚΤΙΚΗ ΕΦΑΡΜΟΓΗ'!C9</f>
        <v>0</v>
      </c>
      <c r="M9" s="2">
        <f>7-'ΠΡΑΚΤΙΚΗ ΕΦΑΡΜΟΓΗ'!C9</f>
        <v>7</v>
      </c>
      <c r="N9" t="str">
        <f>'ΠΡΑΚΤΙΚΗ ΕΦΑΡΜΟΓΗ'!H9</f>
        <v/>
      </c>
    </row>
    <row r="10" spans="1:17" x14ac:dyDescent="0.3">
      <c r="A10">
        <v>7</v>
      </c>
      <c r="B10" t="s">
        <v>21</v>
      </c>
      <c r="C10">
        <f>'ΗΛΕΚΤΡΟΝΙΚΕΣ ΜΕΤΡΗΣΕΙΣ'!C10</f>
        <v>0</v>
      </c>
      <c r="D10" s="2">
        <f>7-'ΗΛΕΚΤΡΟΝΙΚΕΣ ΜΕΤΡΗΣΕΙΣ'!C10</f>
        <v>7</v>
      </c>
      <c r="E10" t="str">
        <f>'ΗΛΕΚΤΡΟΝΙΚΕΣ ΜΕΤΡΗΣΕΙΣ'!H10</f>
        <v/>
      </c>
      <c r="F10">
        <f>'ΣΥΣΤΗΜΑΤΑ ΑΣΦΑΛΕΙΑΣ'!C10</f>
        <v>0</v>
      </c>
      <c r="G10" s="2">
        <f>5-'ΣΥΣΤΗΜΑΤΑ ΑΣΦΑΛΕΙΑΣ'!C10</f>
        <v>5</v>
      </c>
      <c r="H10" t="str">
        <f>'ΣΥΣΤΗΜΑΤΑ ΑΣΦΑΛΕΙΑΣ'!H10</f>
        <v/>
      </c>
      <c r="I10">
        <f>'ΔΙΚΤΥΑ ΥΠΟΛΟΓΙΣΤΩΝ'!C10</f>
        <v>0</v>
      </c>
      <c r="J10" s="2">
        <f>5-'ΔΙΚΤΥΑ ΥΠΟΛΟΓΙΣΤΩΝ'!C10</f>
        <v>5</v>
      </c>
      <c r="K10" t="str">
        <f>'ΔΙΚΤΥΑ ΥΠΟΛΟΓΙΣΤΩΝ'!H10</f>
        <v/>
      </c>
      <c r="L10">
        <f>'ΠΡΑΚΤΙΚΗ ΕΦΑΡΜΟΓΗ'!C10</f>
        <v>0</v>
      </c>
      <c r="M10" s="2">
        <f>7-'ΠΡΑΚΤΙΚΗ ΕΦΑΡΜΟΓΗ'!C10</f>
        <v>7</v>
      </c>
      <c r="N10" t="str">
        <f>'ΠΡΑΚΤΙΚΗ ΕΦΑΡΜΟΓΗ'!H10</f>
        <v/>
      </c>
    </row>
    <row r="11" spans="1:17" x14ac:dyDescent="0.3">
      <c r="A11">
        <v>8</v>
      </c>
      <c r="B11" t="s">
        <v>22</v>
      </c>
      <c r="C11">
        <f>'ΗΛΕΚΤΡΟΝΙΚΕΣ ΜΕΤΡΗΣΕΙΣ'!C11</f>
        <v>0</v>
      </c>
      <c r="D11" s="2">
        <f>7-'ΗΛΕΚΤΡΟΝΙΚΕΣ ΜΕΤΡΗΣΕΙΣ'!C11</f>
        <v>7</v>
      </c>
      <c r="E11" t="str">
        <f>'ΗΛΕΚΤΡΟΝΙΚΕΣ ΜΕΤΡΗΣΕΙΣ'!H11</f>
        <v/>
      </c>
      <c r="F11">
        <f>'ΣΥΣΤΗΜΑΤΑ ΑΣΦΑΛΕΙΑΣ'!C11</f>
        <v>0</v>
      </c>
      <c r="G11" s="2">
        <f>5-'ΣΥΣΤΗΜΑΤΑ ΑΣΦΑΛΕΙΑΣ'!C11</f>
        <v>5</v>
      </c>
      <c r="H11" t="str">
        <f>'ΣΥΣΤΗΜΑΤΑ ΑΣΦΑΛΕΙΑΣ'!H11</f>
        <v/>
      </c>
      <c r="I11">
        <f>'ΔΙΚΤΥΑ ΥΠΟΛΟΓΙΣΤΩΝ'!C11</f>
        <v>0</v>
      </c>
      <c r="J11" s="2">
        <f>5-'ΔΙΚΤΥΑ ΥΠΟΛΟΓΙΣΤΩΝ'!C11</f>
        <v>5</v>
      </c>
      <c r="K11" t="str">
        <f>'ΔΙΚΤΥΑ ΥΠΟΛΟΓΙΣΤΩΝ'!H11</f>
        <v/>
      </c>
      <c r="L11">
        <f>'ΠΡΑΚΤΙΚΗ ΕΦΑΡΜΟΓΗ'!C11</f>
        <v>0</v>
      </c>
      <c r="M11" s="2">
        <f>7-'ΠΡΑΚΤΙΚΗ ΕΦΑΡΜΟΓΗ'!C11</f>
        <v>7</v>
      </c>
      <c r="N11" t="str">
        <f>'ΠΡΑΚΤΙΚΗ ΕΦΑΡΜΟΓΗ'!H11</f>
        <v/>
      </c>
    </row>
    <row r="12" spans="1:17" x14ac:dyDescent="0.3">
      <c r="A12">
        <v>9</v>
      </c>
      <c r="B12" t="s">
        <v>23</v>
      </c>
      <c r="C12">
        <f>'ΗΛΕΚΤΡΟΝΙΚΕΣ ΜΕΤΡΗΣΕΙΣ'!C12</f>
        <v>0</v>
      </c>
      <c r="D12" s="2">
        <f>7-'ΗΛΕΚΤΡΟΝΙΚΕΣ ΜΕΤΡΗΣΕΙΣ'!C12</f>
        <v>7</v>
      </c>
      <c r="E12" t="str">
        <f>'ΗΛΕΚΤΡΟΝΙΚΕΣ ΜΕΤΡΗΣΕΙΣ'!H12</f>
        <v/>
      </c>
      <c r="F12">
        <f>'ΣΥΣΤΗΜΑΤΑ ΑΣΦΑΛΕΙΑΣ'!C12</f>
        <v>0</v>
      </c>
      <c r="G12" s="2">
        <f>5-'ΣΥΣΤΗΜΑΤΑ ΑΣΦΑΛΕΙΑΣ'!C12</f>
        <v>5</v>
      </c>
      <c r="H12" t="str">
        <f>'ΣΥΣΤΗΜΑΤΑ ΑΣΦΑΛΕΙΑΣ'!H12</f>
        <v/>
      </c>
      <c r="I12">
        <f>'ΔΙΚΤΥΑ ΥΠΟΛΟΓΙΣΤΩΝ'!C12</f>
        <v>0</v>
      </c>
      <c r="J12" s="2">
        <f>5-'ΔΙΚΤΥΑ ΥΠΟΛΟΓΙΣΤΩΝ'!C12</f>
        <v>5</v>
      </c>
      <c r="K12" t="str">
        <f>'ΔΙΚΤΥΑ ΥΠΟΛΟΓΙΣΤΩΝ'!H12</f>
        <v/>
      </c>
      <c r="L12">
        <f>'ΠΡΑΚΤΙΚΗ ΕΦΑΡΜΟΓΗ'!C12</f>
        <v>0</v>
      </c>
      <c r="M12" s="2">
        <f>7-'ΠΡΑΚΤΙΚΗ ΕΦΑΡΜΟΓΗ'!C12</f>
        <v>7</v>
      </c>
      <c r="N12" t="str">
        <f>'ΠΡΑΚΤΙΚΗ ΕΦΑΡΜΟΓΗ'!H12</f>
        <v/>
      </c>
    </row>
    <row r="13" spans="1:17" x14ac:dyDescent="0.3">
      <c r="A13">
        <v>10</v>
      </c>
      <c r="B13" t="s">
        <v>24</v>
      </c>
      <c r="C13">
        <f>'ΗΛΕΚΤΡΟΝΙΚΕΣ ΜΕΤΡΗΣΕΙΣ'!C13</f>
        <v>0</v>
      </c>
      <c r="D13" s="2">
        <f>7-'ΗΛΕΚΤΡΟΝΙΚΕΣ ΜΕΤΡΗΣΕΙΣ'!C13</f>
        <v>7</v>
      </c>
      <c r="E13" t="str">
        <f>'ΗΛΕΚΤΡΟΝΙΚΕΣ ΜΕΤΡΗΣΕΙΣ'!H13</f>
        <v/>
      </c>
      <c r="F13">
        <f>'ΣΥΣΤΗΜΑΤΑ ΑΣΦΑΛΕΙΑΣ'!C13</f>
        <v>0</v>
      </c>
      <c r="G13" s="2">
        <f>5-'ΣΥΣΤΗΜΑΤΑ ΑΣΦΑΛΕΙΑΣ'!C13</f>
        <v>5</v>
      </c>
      <c r="H13" t="str">
        <f>'ΣΥΣΤΗΜΑΤΑ ΑΣΦΑΛΕΙΑΣ'!H13</f>
        <v/>
      </c>
      <c r="I13">
        <f>'ΔΙΚΤΥΑ ΥΠΟΛΟΓΙΣΤΩΝ'!C13</f>
        <v>0</v>
      </c>
      <c r="J13" s="2">
        <f>5-'ΔΙΚΤΥΑ ΥΠΟΛΟΓΙΣΤΩΝ'!C13</f>
        <v>5</v>
      </c>
      <c r="K13" t="str">
        <f>'ΔΙΚΤΥΑ ΥΠΟΛΟΓΙΣΤΩΝ'!H13</f>
        <v/>
      </c>
      <c r="L13">
        <f>'ΠΡΑΚΤΙΚΗ ΕΦΑΡΜΟΓΗ'!C13</f>
        <v>0</v>
      </c>
      <c r="M13" s="2">
        <f>7-'ΠΡΑΚΤΙΚΗ ΕΦΑΡΜΟΓΗ'!C13</f>
        <v>7</v>
      </c>
      <c r="N13" t="str">
        <f>'ΠΡΑΚΤΙΚΗ ΕΦΑΡΜΟΓΗ'!H13</f>
        <v/>
      </c>
    </row>
    <row r="14" spans="1:17" x14ac:dyDescent="0.3">
      <c r="A14">
        <v>11</v>
      </c>
      <c r="B14" t="s">
        <v>25</v>
      </c>
      <c r="C14">
        <f>'ΗΛΕΚΤΡΟΝΙΚΕΣ ΜΕΤΡΗΣΕΙΣ'!C14</f>
        <v>0</v>
      </c>
      <c r="D14" s="2">
        <f>7-'ΗΛΕΚΤΡΟΝΙΚΕΣ ΜΕΤΡΗΣΕΙΣ'!C14</f>
        <v>7</v>
      </c>
      <c r="E14" t="str">
        <f>'ΗΛΕΚΤΡΟΝΙΚΕΣ ΜΕΤΡΗΣΕΙΣ'!H14</f>
        <v/>
      </c>
      <c r="F14">
        <f>'ΣΥΣΤΗΜΑΤΑ ΑΣΦΑΛΕΙΑΣ'!C14</f>
        <v>0</v>
      </c>
      <c r="G14" s="2">
        <f>5-'ΣΥΣΤΗΜΑΤΑ ΑΣΦΑΛΕΙΑΣ'!C14</f>
        <v>5</v>
      </c>
      <c r="H14" t="str">
        <f>'ΣΥΣΤΗΜΑΤΑ ΑΣΦΑΛΕΙΑΣ'!H14</f>
        <v/>
      </c>
      <c r="I14">
        <f>'ΔΙΚΤΥΑ ΥΠΟΛΟΓΙΣΤΩΝ'!C14</f>
        <v>0</v>
      </c>
      <c r="J14" s="2">
        <f>5-'ΔΙΚΤΥΑ ΥΠΟΛΟΓΙΣΤΩΝ'!C14</f>
        <v>5</v>
      </c>
      <c r="K14" t="str">
        <f>'ΔΙΚΤΥΑ ΥΠΟΛΟΓΙΣΤΩΝ'!H14</f>
        <v/>
      </c>
      <c r="L14">
        <f>'ΠΡΑΚΤΙΚΗ ΕΦΑΡΜΟΓΗ'!C14</f>
        <v>0</v>
      </c>
      <c r="M14" s="2">
        <f>7-'ΠΡΑΚΤΙΚΗ ΕΦΑΡΜΟΓΗ'!C14</f>
        <v>7</v>
      </c>
      <c r="N14" t="str">
        <f>'ΠΡΑΚΤΙΚΗ ΕΦΑΡΜΟΓΗ'!H14</f>
        <v/>
      </c>
    </row>
    <row r="15" spans="1:17" x14ac:dyDescent="0.3">
      <c r="A15">
        <v>12</v>
      </c>
      <c r="B15" t="s">
        <v>26</v>
      </c>
      <c r="C15">
        <f>'ΗΛΕΚΤΡΟΝΙΚΕΣ ΜΕΤΡΗΣΕΙΣ'!C15</f>
        <v>0</v>
      </c>
      <c r="D15" s="2">
        <f>7-'ΗΛΕΚΤΡΟΝΙΚΕΣ ΜΕΤΡΗΣΕΙΣ'!C15</f>
        <v>7</v>
      </c>
      <c r="E15" t="str">
        <f>'ΗΛΕΚΤΡΟΝΙΚΕΣ ΜΕΤΡΗΣΕΙΣ'!H15</f>
        <v/>
      </c>
      <c r="F15">
        <f>'ΣΥΣΤΗΜΑΤΑ ΑΣΦΑΛΕΙΑΣ'!C15</f>
        <v>0</v>
      </c>
      <c r="G15" s="2">
        <f>5-'ΣΥΣΤΗΜΑΤΑ ΑΣΦΑΛΕΙΑΣ'!C15</f>
        <v>5</v>
      </c>
      <c r="H15" t="str">
        <f>'ΣΥΣΤΗΜΑΤΑ ΑΣΦΑΛΕΙΑΣ'!H15</f>
        <v/>
      </c>
      <c r="I15">
        <f>'ΔΙΚΤΥΑ ΥΠΟΛΟΓΙΣΤΩΝ'!C15</f>
        <v>0</v>
      </c>
      <c r="J15" s="2">
        <f>5-'ΔΙΚΤΥΑ ΥΠΟΛΟΓΙΣΤΩΝ'!C15</f>
        <v>5</v>
      </c>
      <c r="K15" t="str">
        <f>'ΔΙΚΤΥΑ ΥΠΟΛΟΓΙΣΤΩΝ'!H15</f>
        <v/>
      </c>
      <c r="L15">
        <f>'ΠΡΑΚΤΙΚΗ ΕΦΑΡΜΟΓΗ'!C15</f>
        <v>0</v>
      </c>
      <c r="M15" s="2">
        <f>7-'ΠΡΑΚΤΙΚΗ ΕΦΑΡΜΟΓΗ'!C15</f>
        <v>7</v>
      </c>
      <c r="N15" t="str">
        <f>'ΠΡΑΚΤΙΚΗ ΕΦΑΡΜΟΓΗ'!H15</f>
        <v/>
      </c>
    </row>
    <row r="16" spans="1:17" x14ac:dyDescent="0.3">
      <c r="A16">
        <v>13</v>
      </c>
      <c r="B16" t="s">
        <v>27</v>
      </c>
      <c r="C16">
        <f>'ΗΛΕΚΤΡΟΝΙΚΕΣ ΜΕΤΡΗΣΕΙΣ'!C16</f>
        <v>0</v>
      </c>
      <c r="D16" s="2">
        <f>7-'ΗΛΕΚΤΡΟΝΙΚΕΣ ΜΕΤΡΗΣΕΙΣ'!C16</f>
        <v>7</v>
      </c>
      <c r="E16" t="str">
        <f>'ΗΛΕΚΤΡΟΝΙΚΕΣ ΜΕΤΡΗΣΕΙΣ'!H16</f>
        <v/>
      </c>
      <c r="F16">
        <f>'ΣΥΣΤΗΜΑΤΑ ΑΣΦΑΛΕΙΑΣ'!C16</f>
        <v>0</v>
      </c>
      <c r="G16" s="2">
        <f>5-'ΣΥΣΤΗΜΑΤΑ ΑΣΦΑΛΕΙΑΣ'!C16</f>
        <v>5</v>
      </c>
      <c r="H16" t="str">
        <f>'ΣΥΣΤΗΜΑΤΑ ΑΣΦΑΛΕΙΑΣ'!H16</f>
        <v/>
      </c>
      <c r="I16">
        <f>'ΔΙΚΤΥΑ ΥΠΟΛΟΓΙΣΤΩΝ'!C16</f>
        <v>0</v>
      </c>
      <c r="J16" s="2">
        <f>5-'ΔΙΚΤΥΑ ΥΠΟΛΟΓΙΣΤΩΝ'!C16</f>
        <v>5</v>
      </c>
      <c r="K16" t="str">
        <f>'ΔΙΚΤΥΑ ΥΠΟΛΟΓΙΣΤΩΝ'!H16</f>
        <v/>
      </c>
      <c r="L16">
        <f>'ΠΡΑΚΤΙΚΗ ΕΦΑΡΜΟΓΗ'!C16</f>
        <v>0</v>
      </c>
      <c r="M16" s="2">
        <f>7-'ΠΡΑΚΤΙΚΗ ΕΦΑΡΜΟΓΗ'!C16</f>
        <v>7</v>
      </c>
      <c r="N16" t="str">
        <f>'ΠΡΑΚΤΙΚΗ ΕΦΑΡΜΟΓΗ'!H16</f>
        <v/>
      </c>
    </row>
    <row r="17" spans="1:14" x14ac:dyDescent="0.3">
      <c r="A17">
        <v>14</v>
      </c>
      <c r="B17" t="s">
        <v>28</v>
      </c>
      <c r="C17">
        <f>'ΗΛΕΚΤΡΟΝΙΚΕΣ ΜΕΤΡΗΣΕΙΣ'!C17</f>
        <v>0</v>
      </c>
      <c r="D17" s="2">
        <f>7-'ΗΛΕΚΤΡΟΝΙΚΕΣ ΜΕΤΡΗΣΕΙΣ'!C17</f>
        <v>7</v>
      </c>
      <c r="E17" t="str">
        <f>'ΗΛΕΚΤΡΟΝΙΚΕΣ ΜΕΤΡΗΣΕΙΣ'!H17</f>
        <v/>
      </c>
      <c r="F17">
        <f>'ΣΥΣΤΗΜΑΤΑ ΑΣΦΑΛΕΙΑΣ'!C17</f>
        <v>0</v>
      </c>
      <c r="G17" s="2">
        <f>5-'ΣΥΣΤΗΜΑΤΑ ΑΣΦΑΛΕΙΑΣ'!C17</f>
        <v>5</v>
      </c>
      <c r="H17" t="str">
        <f>'ΣΥΣΤΗΜΑΤΑ ΑΣΦΑΛΕΙΑΣ'!H17</f>
        <v/>
      </c>
      <c r="I17">
        <f>'ΔΙΚΤΥΑ ΥΠΟΛΟΓΙΣΤΩΝ'!C17</f>
        <v>0</v>
      </c>
      <c r="J17" s="2">
        <f>5-'ΔΙΚΤΥΑ ΥΠΟΛΟΓΙΣΤΩΝ'!C17</f>
        <v>5</v>
      </c>
      <c r="K17" t="str">
        <f>'ΔΙΚΤΥΑ ΥΠΟΛΟΓΙΣΤΩΝ'!H17</f>
        <v/>
      </c>
      <c r="L17">
        <f>'ΠΡΑΚΤΙΚΗ ΕΦΑΡΜΟΓΗ'!C17</f>
        <v>0</v>
      </c>
      <c r="M17" s="2">
        <f>7-'ΠΡΑΚΤΙΚΗ ΕΦΑΡΜΟΓΗ'!C17</f>
        <v>7</v>
      </c>
      <c r="N17" t="str">
        <f>'ΠΡΑΚΤΙΚΗ ΕΦΑΡΜΟΓΗ'!H17</f>
        <v/>
      </c>
    </row>
    <row r="18" spans="1:14" x14ac:dyDescent="0.3">
      <c r="A18">
        <v>15</v>
      </c>
      <c r="B18" t="s">
        <v>29</v>
      </c>
      <c r="C18">
        <f>'ΗΛΕΚΤΡΟΝΙΚΕΣ ΜΕΤΡΗΣΕΙΣ'!C18</f>
        <v>0</v>
      </c>
      <c r="D18" s="2">
        <f>7-'ΗΛΕΚΤΡΟΝΙΚΕΣ ΜΕΤΡΗΣΕΙΣ'!C18</f>
        <v>7</v>
      </c>
      <c r="E18" t="str">
        <f>'ΗΛΕΚΤΡΟΝΙΚΕΣ ΜΕΤΡΗΣΕΙΣ'!H18</f>
        <v/>
      </c>
      <c r="F18">
        <f>'ΣΥΣΤΗΜΑΤΑ ΑΣΦΑΛΕΙΑΣ'!C18</f>
        <v>0</v>
      </c>
      <c r="G18" s="2">
        <f>5-'ΣΥΣΤΗΜΑΤΑ ΑΣΦΑΛΕΙΑΣ'!C18</f>
        <v>5</v>
      </c>
      <c r="H18" t="str">
        <f>'ΣΥΣΤΗΜΑΤΑ ΑΣΦΑΛΕΙΑΣ'!H18</f>
        <v/>
      </c>
      <c r="I18">
        <f>'ΔΙΚΤΥΑ ΥΠΟΛΟΓΙΣΤΩΝ'!C18</f>
        <v>0</v>
      </c>
      <c r="J18" s="2">
        <f>5-'ΔΙΚΤΥΑ ΥΠΟΛΟΓΙΣΤΩΝ'!C18</f>
        <v>5</v>
      </c>
      <c r="K18" t="str">
        <f>'ΔΙΚΤΥΑ ΥΠΟΛΟΓΙΣΤΩΝ'!H18</f>
        <v/>
      </c>
      <c r="L18">
        <f>'ΠΡΑΚΤΙΚΗ ΕΦΑΡΜΟΓΗ'!C18</f>
        <v>0</v>
      </c>
      <c r="M18" s="2">
        <f>7-'ΠΡΑΚΤΙΚΗ ΕΦΑΡΜΟΓΗ'!C18</f>
        <v>7</v>
      </c>
      <c r="N18" t="str">
        <f>'ΠΡΑΚΤΙΚΗ ΕΦΑΡΜΟΓΗ'!H18</f>
        <v/>
      </c>
    </row>
    <row r="19" spans="1:14" x14ac:dyDescent="0.3">
      <c r="A19">
        <v>16</v>
      </c>
      <c r="B19" t="s">
        <v>30</v>
      </c>
      <c r="C19">
        <f>'ΗΛΕΚΤΡΟΝΙΚΕΣ ΜΕΤΡΗΣΕΙΣ'!C19</f>
        <v>0</v>
      </c>
      <c r="D19" s="2">
        <f>7-'ΗΛΕΚΤΡΟΝΙΚΕΣ ΜΕΤΡΗΣΕΙΣ'!C19</f>
        <v>7</v>
      </c>
      <c r="E19" t="str">
        <f>'ΗΛΕΚΤΡΟΝΙΚΕΣ ΜΕΤΡΗΣΕΙΣ'!H19</f>
        <v/>
      </c>
      <c r="F19">
        <f>'ΣΥΣΤΗΜΑΤΑ ΑΣΦΑΛΕΙΑΣ'!C19</f>
        <v>0</v>
      </c>
      <c r="G19" s="2">
        <f>5-'ΣΥΣΤΗΜΑΤΑ ΑΣΦΑΛΕΙΑΣ'!C19</f>
        <v>5</v>
      </c>
      <c r="H19" t="str">
        <f>'ΣΥΣΤΗΜΑΤΑ ΑΣΦΑΛΕΙΑΣ'!H19</f>
        <v/>
      </c>
      <c r="I19">
        <f>'ΔΙΚΤΥΑ ΥΠΟΛΟΓΙΣΤΩΝ'!C19</f>
        <v>0</v>
      </c>
      <c r="J19" s="2">
        <f>5-'ΔΙΚΤΥΑ ΥΠΟΛΟΓΙΣΤΩΝ'!C19</f>
        <v>5</v>
      </c>
      <c r="K19" t="str">
        <f>'ΔΙΚΤΥΑ ΥΠΟΛΟΓΙΣΤΩΝ'!H19</f>
        <v/>
      </c>
      <c r="L19">
        <f>'ΠΡΑΚΤΙΚΗ ΕΦΑΡΜΟΓΗ'!C19</f>
        <v>0</v>
      </c>
      <c r="M19" s="2">
        <f>7-'ΠΡΑΚΤΙΚΗ ΕΦΑΡΜΟΓΗ'!C19</f>
        <v>7</v>
      </c>
      <c r="N19" t="str">
        <f>'ΠΡΑΚΤΙΚΗ ΕΦΑΡΜΟΓΗ'!H19</f>
        <v/>
      </c>
    </row>
    <row r="20" spans="1:14" x14ac:dyDescent="0.3">
      <c r="A20">
        <v>17</v>
      </c>
      <c r="B20" t="s">
        <v>31</v>
      </c>
      <c r="C20">
        <f>'ΗΛΕΚΤΡΟΝΙΚΕΣ ΜΕΤΡΗΣΕΙΣ'!C20</f>
        <v>0</v>
      </c>
      <c r="D20" s="2">
        <f>7-'ΗΛΕΚΤΡΟΝΙΚΕΣ ΜΕΤΡΗΣΕΙΣ'!C20</f>
        <v>7</v>
      </c>
      <c r="E20" t="str">
        <f>'ΗΛΕΚΤΡΟΝΙΚΕΣ ΜΕΤΡΗΣΕΙΣ'!H20</f>
        <v/>
      </c>
      <c r="F20">
        <f>'ΣΥΣΤΗΜΑΤΑ ΑΣΦΑΛΕΙΑΣ'!C20</f>
        <v>0</v>
      </c>
      <c r="G20" s="2">
        <f>5-'ΣΥΣΤΗΜΑΤΑ ΑΣΦΑΛΕΙΑΣ'!C20</f>
        <v>5</v>
      </c>
      <c r="H20" t="str">
        <f>'ΣΥΣΤΗΜΑΤΑ ΑΣΦΑΛΕΙΑΣ'!H20</f>
        <v/>
      </c>
      <c r="I20">
        <f>'ΔΙΚΤΥΑ ΥΠΟΛΟΓΙΣΤΩΝ'!C20</f>
        <v>0</v>
      </c>
      <c r="J20" s="2">
        <f>5-'ΔΙΚΤΥΑ ΥΠΟΛΟΓΙΣΤΩΝ'!C20</f>
        <v>5</v>
      </c>
      <c r="K20" t="str">
        <f>'ΔΙΚΤΥΑ ΥΠΟΛΟΓΙΣΤΩΝ'!H20</f>
        <v/>
      </c>
      <c r="L20">
        <f>'ΠΡΑΚΤΙΚΗ ΕΦΑΡΜΟΓΗ'!C20</f>
        <v>0</v>
      </c>
      <c r="M20" s="2">
        <f>7-'ΠΡΑΚΤΙΚΗ ΕΦΑΡΜΟΓΗ'!C20</f>
        <v>7</v>
      </c>
      <c r="N20" t="str">
        <f>'ΠΡΑΚΤΙΚΗ ΕΦΑΡΜΟΓΗ'!H20</f>
        <v/>
      </c>
    </row>
  </sheetData>
  <mergeCells count="1">
    <mergeCell ref="A1:Q1"/>
  </mergeCells>
  <conditionalFormatting sqref="D4:D20">
    <cfRule type="cellIs" dxfId="23" priority="1" operator="lessThan">
      <formula>0</formula>
    </cfRule>
    <cfRule type="cellIs" dxfId="22" priority="2" operator="between">
      <formula>1</formula>
      <formula>3</formula>
    </cfRule>
    <cfRule type="cellIs" dxfId="21" priority="3" operator="greaterThan">
      <formula>3</formula>
    </cfRule>
  </conditionalFormatting>
  <conditionalFormatting sqref="G4:G20">
    <cfRule type="cellIs" dxfId="20" priority="4" operator="lessThan">
      <formula>0</formula>
    </cfRule>
    <cfRule type="cellIs" dxfId="19" priority="5" operator="between">
      <formula>1</formula>
      <formula>3</formula>
    </cfRule>
    <cfRule type="cellIs" dxfId="18" priority="6" operator="greaterThan">
      <formula>3</formula>
    </cfRule>
  </conditionalFormatting>
  <conditionalFormatting sqref="J4:J20">
    <cfRule type="cellIs" dxfId="17" priority="7" operator="lessThan">
      <formula>0</formula>
    </cfRule>
    <cfRule type="cellIs" dxfId="16" priority="8" operator="between">
      <formula>1</formula>
      <formula>3</formula>
    </cfRule>
    <cfRule type="cellIs" dxfId="15" priority="9" operator="greaterThan">
      <formula>3</formula>
    </cfRule>
  </conditionalFormatting>
  <conditionalFormatting sqref="M4:M20">
    <cfRule type="cellIs" dxfId="14" priority="10" operator="lessThan">
      <formula>0</formula>
    </cfRule>
    <cfRule type="cellIs" dxfId="13" priority="11" operator="between">
      <formula>1</formula>
      <formula>3</formula>
    </cfRule>
    <cfRule type="cellIs" dxfId="12" priority="12" operator="greaterThan">
      <formula>3</formula>
    </cfRule>
  </conditionalFormatting>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L21"/>
  <sheetViews>
    <sheetView tabSelected="1" workbookViewId="0">
      <selection activeCell="I9" sqref="I9"/>
    </sheetView>
  </sheetViews>
  <sheetFormatPr defaultRowHeight="14.4" x14ac:dyDescent="0.3"/>
  <cols>
    <col min="1" max="1" width="5" customWidth="1"/>
    <col min="2" max="2" width="25" customWidth="1"/>
    <col min="3" max="3" width="10" customWidth="1"/>
    <col min="4" max="4" width="12" customWidth="1"/>
    <col min="5" max="7" width="10" customWidth="1"/>
    <col min="8" max="8" width="8" customWidth="1"/>
    <col min="9" max="9" width="11" customWidth="1"/>
    <col min="10" max="10" width="6" customWidth="1"/>
    <col min="11" max="11" width="11" customWidth="1"/>
    <col min="12" max="12" width="6" customWidth="1"/>
    <col min="13" max="13" width="11" customWidth="1"/>
    <col min="14" max="14" width="6" customWidth="1"/>
    <col min="15" max="15" width="11" customWidth="1"/>
    <col min="16" max="16" width="6" customWidth="1"/>
    <col min="17" max="17" width="11" customWidth="1"/>
    <col min="18" max="18" width="6" customWidth="1"/>
    <col min="19" max="19" width="11" customWidth="1"/>
    <col min="20" max="20" width="6" customWidth="1"/>
    <col min="21" max="21" width="11" customWidth="1"/>
    <col min="22" max="22" width="6" customWidth="1"/>
    <col min="23" max="23" width="11" customWidth="1"/>
    <col min="24" max="24" width="6" customWidth="1"/>
    <col min="25" max="25" width="11" customWidth="1"/>
    <col min="26" max="26" width="6" customWidth="1"/>
    <col min="27" max="27" width="11" customWidth="1"/>
    <col min="28" max="28" width="6" customWidth="1"/>
    <col min="29" max="29" width="11" customWidth="1"/>
    <col min="30" max="30" width="6" customWidth="1"/>
    <col min="31" max="31" width="11" customWidth="1"/>
    <col min="32" max="32" width="6" customWidth="1"/>
    <col min="33" max="33" width="11" customWidth="1"/>
    <col min="34" max="34" width="6" customWidth="1"/>
    <col min="35" max="35" width="11" customWidth="1"/>
    <col min="36" max="36" width="6" customWidth="1"/>
    <col min="37" max="37" width="11" customWidth="1"/>
    <col min="38" max="38" width="6" customWidth="1"/>
  </cols>
  <sheetData>
    <row r="1" spans="1:38" x14ac:dyDescent="0.3">
      <c r="A1" s="12" t="s">
        <v>32</v>
      </c>
      <c r="B1" s="11"/>
      <c r="C1" s="11"/>
      <c r="D1" s="11"/>
      <c r="E1" s="11"/>
      <c r="F1" s="11"/>
      <c r="G1" s="11"/>
      <c r="H1" s="11"/>
    </row>
    <row r="2" spans="1:38" x14ac:dyDescent="0.3">
      <c r="A2" s="3" t="s">
        <v>33</v>
      </c>
      <c r="B2" s="3" t="s">
        <v>34</v>
      </c>
      <c r="C2" s="3" t="s">
        <v>35</v>
      </c>
      <c r="D2" s="3" t="s">
        <v>36</v>
      </c>
      <c r="E2" s="3" t="s">
        <v>37</v>
      </c>
    </row>
    <row r="4" spans="1:38" ht="28.8" x14ac:dyDescent="0.3">
      <c r="A4" s="1" t="s">
        <v>1</v>
      </c>
      <c r="B4" s="1" t="s">
        <v>2</v>
      </c>
      <c r="C4" s="1" t="s">
        <v>38</v>
      </c>
      <c r="D4" s="1" t="s">
        <v>39</v>
      </c>
      <c r="E4" s="1" t="s">
        <v>40</v>
      </c>
      <c r="F4" s="1" t="s">
        <v>41</v>
      </c>
      <c r="G4" s="1" t="s">
        <v>42</v>
      </c>
      <c r="H4" s="1" t="s">
        <v>43</v>
      </c>
      <c r="I4" s="1" t="s">
        <v>44</v>
      </c>
      <c r="J4" s="1" t="s">
        <v>45</v>
      </c>
      <c r="K4" s="1" t="s">
        <v>46</v>
      </c>
      <c r="L4" s="1" t="s">
        <v>47</v>
      </c>
      <c r="M4" s="1" t="s">
        <v>48</v>
      </c>
      <c r="N4" s="1" t="s">
        <v>49</v>
      </c>
      <c r="O4" s="1" t="s">
        <v>50</v>
      </c>
      <c r="P4" s="1" t="s">
        <v>51</v>
      </c>
      <c r="Q4" s="1" t="s">
        <v>52</v>
      </c>
      <c r="R4" s="1" t="s">
        <v>53</v>
      </c>
      <c r="S4" s="1" t="s">
        <v>54</v>
      </c>
      <c r="T4" s="1" t="s">
        <v>55</v>
      </c>
      <c r="U4" s="1" t="s">
        <v>56</v>
      </c>
      <c r="V4" s="1" t="s">
        <v>57</v>
      </c>
      <c r="W4" s="1" t="s">
        <v>58</v>
      </c>
      <c r="X4" s="1" t="s">
        <v>59</v>
      </c>
      <c r="Y4" s="1" t="s">
        <v>60</v>
      </c>
      <c r="Z4" s="1" t="s">
        <v>61</v>
      </c>
      <c r="AA4" s="1" t="s">
        <v>62</v>
      </c>
      <c r="AB4" s="1" t="s">
        <v>63</v>
      </c>
      <c r="AC4" s="1" t="s">
        <v>64</v>
      </c>
      <c r="AD4" s="1" t="s">
        <v>65</v>
      </c>
      <c r="AE4" s="1" t="s">
        <v>66</v>
      </c>
      <c r="AF4" s="1" t="s">
        <v>67</v>
      </c>
      <c r="AG4" s="1" t="s">
        <v>68</v>
      </c>
      <c r="AH4" s="1" t="s">
        <v>69</v>
      </c>
      <c r="AI4" s="1" t="s">
        <v>70</v>
      </c>
      <c r="AJ4" s="1" t="s">
        <v>71</v>
      </c>
      <c r="AK4" s="1" t="s">
        <v>72</v>
      </c>
      <c r="AL4" s="1" t="s">
        <v>73</v>
      </c>
    </row>
    <row r="5" spans="1:38" x14ac:dyDescent="0.3">
      <c r="A5" s="4">
        <v>1</v>
      </c>
      <c r="B5" s="4" t="s">
        <v>15</v>
      </c>
      <c r="C5" s="4">
        <f t="shared" ref="C5:C21" si="0">SUM(J5:AL5)</f>
        <v>0</v>
      </c>
      <c r="D5" s="5">
        <f t="shared" ref="D5:D21" si="1">7-C5</f>
        <v>7</v>
      </c>
      <c r="E5" s="4"/>
      <c r="F5" s="4"/>
      <c r="G5" s="4"/>
      <c r="H5" s="5" t="str">
        <f t="shared" ref="H5:H21" si="2">IF(AND(E5&lt;&gt;"",F5&lt;&gt;"",G5&lt;&gt;""),ROUND(E5*0.3+F5*0.1+G5*0.6,0),"")</f>
        <v/>
      </c>
      <c r="I5" s="6">
        <v>46069</v>
      </c>
      <c r="J5" s="7"/>
      <c r="K5" s="8"/>
      <c r="L5" s="9"/>
      <c r="M5" s="6"/>
      <c r="N5" s="7"/>
      <c r="O5" s="8"/>
      <c r="P5" s="9"/>
      <c r="Q5" s="6"/>
      <c r="R5" s="7"/>
      <c r="S5" s="8"/>
      <c r="T5" s="9"/>
      <c r="U5" s="6"/>
      <c r="V5" s="7"/>
      <c r="W5" s="8"/>
      <c r="X5" s="9"/>
      <c r="Y5" s="6"/>
      <c r="Z5" s="7"/>
      <c r="AA5" s="8"/>
      <c r="AB5" s="9"/>
      <c r="AC5" s="6"/>
      <c r="AD5" s="7"/>
      <c r="AE5" s="8"/>
      <c r="AF5" s="9"/>
      <c r="AG5" s="6"/>
      <c r="AH5" s="7"/>
      <c r="AI5" s="8"/>
      <c r="AJ5" s="9"/>
      <c r="AK5" s="6"/>
      <c r="AL5" s="7"/>
    </row>
    <row r="6" spans="1:38" x14ac:dyDescent="0.3">
      <c r="A6" s="4">
        <v>2</v>
      </c>
      <c r="B6" s="4" t="s">
        <v>16</v>
      </c>
      <c r="C6" s="4">
        <f t="shared" si="0"/>
        <v>0</v>
      </c>
      <c r="D6" s="5">
        <f t="shared" si="1"/>
        <v>7</v>
      </c>
      <c r="E6" s="4"/>
      <c r="F6" s="4"/>
      <c r="G6" s="4"/>
      <c r="H6" s="5" t="str">
        <f t="shared" si="2"/>
        <v/>
      </c>
      <c r="I6" s="6"/>
      <c r="J6" s="7"/>
      <c r="K6" s="8"/>
      <c r="L6" s="9"/>
      <c r="M6" s="6"/>
      <c r="N6" s="7"/>
      <c r="O6" s="8"/>
      <c r="P6" s="9"/>
      <c r="Q6" s="6"/>
      <c r="R6" s="7"/>
      <c r="S6" s="8"/>
      <c r="T6" s="9"/>
      <c r="U6" s="6"/>
      <c r="V6" s="7"/>
      <c r="W6" s="8"/>
      <c r="X6" s="9"/>
      <c r="Y6" s="6"/>
      <c r="Z6" s="7"/>
      <c r="AA6" s="8"/>
      <c r="AB6" s="9"/>
      <c r="AC6" s="6"/>
      <c r="AD6" s="7"/>
      <c r="AE6" s="8"/>
      <c r="AF6" s="9"/>
      <c r="AG6" s="6"/>
      <c r="AH6" s="7"/>
      <c r="AI6" s="8"/>
      <c r="AJ6" s="9"/>
      <c r="AK6" s="6"/>
      <c r="AL6" s="7"/>
    </row>
    <row r="7" spans="1:38" x14ac:dyDescent="0.3">
      <c r="A7" s="4">
        <v>3</v>
      </c>
      <c r="B7" s="4" t="s">
        <v>17</v>
      </c>
      <c r="C7" s="4">
        <f t="shared" si="0"/>
        <v>0</v>
      </c>
      <c r="D7" s="5">
        <f t="shared" si="1"/>
        <v>7</v>
      </c>
      <c r="E7" s="4"/>
      <c r="F7" s="4"/>
      <c r="G7" s="4"/>
      <c r="H7" s="5" t="str">
        <f t="shared" si="2"/>
        <v/>
      </c>
      <c r="I7" s="6">
        <v>46067</v>
      </c>
      <c r="J7" s="7"/>
      <c r="K7" s="8"/>
      <c r="L7" s="9"/>
      <c r="M7" s="6"/>
      <c r="N7" s="7"/>
      <c r="O7" s="8"/>
      <c r="P7" s="9"/>
      <c r="Q7" s="6"/>
      <c r="R7" s="7"/>
      <c r="S7" s="8"/>
      <c r="T7" s="9"/>
      <c r="U7" s="6"/>
      <c r="V7" s="7"/>
      <c r="W7" s="8"/>
      <c r="X7" s="9"/>
      <c r="Y7" s="6"/>
      <c r="Z7" s="7"/>
      <c r="AA7" s="8"/>
      <c r="AB7" s="9"/>
      <c r="AC7" s="6"/>
      <c r="AD7" s="7"/>
      <c r="AE7" s="8"/>
      <c r="AF7" s="9"/>
      <c r="AG7" s="6"/>
      <c r="AH7" s="7"/>
      <c r="AI7" s="8"/>
      <c r="AJ7" s="9"/>
      <c r="AK7" s="6"/>
      <c r="AL7" s="7"/>
    </row>
    <row r="8" spans="1:38" x14ac:dyDescent="0.3">
      <c r="A8" s="4">
        <v>4</v>
      </c>
      <c r="B8" s="4" t="s">
        <v>18</v>
      </c>
      <c r="C8" s="4">
        <f t="shared" si="0"/>
        <v>0</v>
      </c>
      <c r="D8" s="5">
        <f t="shared" si="1"/>
        <v>7</v>
      </c>
      <c r="E8" s="4"/>
      <c r="F8" s="4"/>
      <c r="G8" s="4"/>
      <c r="H8" s="5" t="str">
        <f t="shared" si="2"/>
        <v/>
      </c>
      <c r="I8" s="6"/>
      <c r="J8" s="7"/>
      <c r="K8" s="8"/>
      <c r="L8" s="9"/>
      <c r="M8" s="6"/>
      <c r="N8" s="7"/>
      <c r="O8" s="8"/>
      <c r="P8" s="9"/>
      <c r="Q8" s="6"/>
      <c r="R8" s="7"/>
      <c r="S8" s="8"/>
      <c r="T8" s="9"/>
      <c r="U8" s="6"/>
      <c r="V8" s="7"/>
      <c r="W8" s="8"/>
      <c r="X8" s="9"/>
      <c r="Y8" s="6"/>
      <c r="Z8" s="7"/>
      <c r="AA8" s="8"/>
      <c r="AB8" s="9"/>
      <c r="AC8" s="6"/>
      <c r="AD8" s="7"/>
      <c r="AE8" s="8"/>
      <c r="AF8" s="9"/>
      <c r="AG8" s="6"/>
      <c r="AH8" s="7"/>
      <c r="AI8" s="8"/>
      <c r="AJ8" s="9"/>
      <c r="AK8" s="6"/>
      <c r="AL8" s="7"/>
    </row>
    <row r="9" spans="1:38" x14ac:dyDescent="0.3">
      <c r="A9" s="4">
        <v>5</v>
      </c>
      <c r="B9" s="4" t="s">
        <v>19</v>
      </c>
      <c r="C9" s="4">
        <f t="shared" si="0"/>
        <v>0</v>
      </c>
      <c r="D9" s="5">
        <f t="shared" si="1"/>
        <v>7</v>
      </c>
      <c r="E9" s="4"/>
      <c r="F9" s="4"/>
      <c r="G9" s="4"/>
      <c r="H9" s="5" t="str">
        <f t="shared" si="2"/>
        <v/>
      </c>
      <c r="I9" s="6"/>
      <c r="J9" s="7"/>
      <c r="K9" s="8"/>
      <c r="L9" s="9"/>
      <c r="M9" s="6"/>
      <c r="N9" s="7"/>
      <c r="O9" s="8"/>
      <c r="P9" s="9"/>
      <c r="Q9" s="6"/>
      <c r="R9" s="7"/>
      <c r="S9" s="8"/>
      <c r="T9" s="9"/>
      <c r="U9" s="6"/>
      <c r="V9" s="7"/>
      <c r="W9" s="8"/>
      <c r="X9" s="9"/>
      <c r="Y9" s="6"/>
      <c r="Z9" s="7"/>
      <c r="AA9" s="8"/>
      <c r="AB9" s="9"/>
      <c r="AC9" s="6"/>
      <c r="AD9" s="7"/>
      <c r="AE9" s="8"/>
      <c r="AF9" s="9"/>
      <c r="AG9" s="6"/>
      <c r="AH9" s="7"/>
      <c r="AI9" s="8"/>
      <c r="AJ9" s="9"/>
      <c r="AK9" s="6"/>
      <c r="AL9" s="7"/>
    </row>
    <row r="10" spans="1:38" x14ac:dyDescent="0.3">
      <c r="A10" s="4">
        <v>6</v>
      </c>
      <c r="B10" s="4" t="s">
        <v>20</v>
      </c>
      <c r="C10" s="4">
        <f t="shared" si="0"/>
        <v>0</v>
      </c>
      <c r="D10" s="5">
        <f t="shared" si="1"/>
        <v>7</v>
      </c>
      <c r="E10" s="4"/>
      <c r="F10" s="4"/>
      <c r="G10" s="4"/>
      <c r="H10" s="5" t="str">
        <f t="shared" si="2"/>
        <v/>
      </c>
      <c r="I10" s="6"/>
      <c r="J10" s="7"/>
      <c r="K10" s="8"/>
      <c r="L10" s="9"/>
      <c r="M10" s="6"/>
      <c r="N10" s="7"/>
      <c r="O10" s="8"/>
      <c r="P10" s="9"/>
      <c r="Q10" s="6"/>
      <c r="R10" s="7"/>
      <c r="S10" s="8"/>
      <c r="T10" s="9"/>
      <c r="U10" s="6"/>
      <c r="V10" s="7"/>
      <c r="W10" s="8"/>
      <c r="X10" s="9"/>
      <c r="Y10" s="6"/>
      <c r="Z10" s="7"/>
      <c r="AA10" s="8"/>
      <c r="AB10" s="9"/>
      <c r="AC10" s="6"/>
      <c r="AD10" s="7"/>
      <c r="AE10" s="8"/>
      <c r="AF10" s="9"/>
      <c r="AG10" s="6"/>
      <c r="AH10" s="7"/>
      <c r="AI10" s="8"/>
      <c r="AJ10" s="9"/>
      <c r="AK10" s="6"/>
      <c r="AL10" s="7"/>
    </row>
    <row r="11" spans="1:38" x14ac:dyDescent="0.3">
      <c r="A11" s="4">
        <v>7</v>
      </c>
      <c r="B11" s="4" t="s">
        <v>21</v>
      </c>
      <c r="C11" s="4">
        <f t="shared" si="0"/>
        <v>0</v>
      </c>
      <c r="D11" s="5">
        <f t="shared" si="1"/>
        <v>7</v>
      </c>
      <c r="E11" s="4"/>
      <c r="F11" s="4"/>
      <c r="G11" s="4"/>
      <c r="H11" s="5" t="str">
        <f t="shared" si="2"/>
        <v/>
      </c>
      <c r="I11" s="6"/>
      <c r="J11" s="7"/>
      <c r="K11" s="8"/>
      <c r="L11" s="9"/>
      <c r="M11" s="6"/>
      <c r="N11" s="7"/>
      <c r="O11" s="8"/>
      <c r="P11" s="9"/>
      <c r="Q11" s="6"/>
      <c r="R11" s="7"/>
      <c r="S11" s="8"/>
      <c r="T11" s="9"/>
      <c r="U11" s="6"/>
      <c r="V11" s="7"/>
      <c r="W11" s="8"/>
      <c r="X11" s="9"/>
      <c r="Y11" s="6"/>
      <c r="Z11" s="7"/>
      <c r="AA11" s="8"/>
      <c r="AB11" s="9"/>
      <c r="AC11" s="6"/>
      <c r="AD11" s="7"/>
      <c r="AE11" s="8"/>
      <c r="AF11" s="9"/>
      <c r="AG11" s="6"/>
      <c r="AH11" s="7"/>
      <c r="AI11" s="8"/>
      <c r="AJ11" s="9"/>
      <c r="AK11" s="6"/>
      <c r="AL11" s="7"/>
    </row>
    <row r="12" spans="1:38" x14ac:dyDescent="0.3">
      <c r="A12" s="4">
        <v>8</v>
      </c>
      <c r="B12" s="4" t="s">
        <v>22</v>
      </c>
      <c r="C12" s="4">
        <f t="shared" si="0"/>
        <v>0</v>
      </c>
      <c r="D12" s="5">
        <f t="shared" si="1"/>
        <v>7</v>
      </c>
      <c r="E12" s="4"/>
      <c r="F12" s="4"/>
      <c r="G12" s="4"/>
      <c r="H12" s="5" t="str">
        <f t="shared" si="2"/>
        <v/>
      </c>
      <c r="I12" s="6"/>
      <c r="J12" s="7"/>
      <c r="K12" s="8"/>
      <c r="L12" s="9"/>
      <c r="M12" s="6"/>
      <c r="N12" s="7"/>
      <c r="O12" s="8"/>
      <c r="P12" s="9"/>
      <c r="Q12" s="6"/>
      <c r="R12" s="7"/>
      <c r="S12" s="8"/>
      <c r="T12" s="9"/>
      <c r="U12" s="6"/>
      <c r="V12" s="7"/>
      <c r="W12" s="8"/>
      <c r="X12" s="9"/>
      <c r="Y12" s="6"/>
      <c r="Z12" s="7"/>
      <c r="AA12" s="8"/>
      <c r="AB12" s="9"/>
      <c r="AC12" s="6"/>
      <c r="AD12" s="7"/>
      <c r="AE12" s="8"/>
      <c r="AF12" s="9"/>
      <c r="AG12" s="6"/>
      <c r="AH12" s="7"/>
      <c r="AI12" s="8"/>
      <c r="AJ12" s="9"/>
      <c r="AK12" s="6"/>
      <c r="AL12" s="7"/>
    </row>
    <row r="13" spans="1:38" x14ac:dyDescent="0.3">
      <c r="A13" s="4">
        <v>9</v>
      </c>
      <c r="B13" s="4" t="s">
        <v>23</v>
      </c>
      <c r="C13" s="4">
        <f t="shared" si="0"/>
        <v>0</v>
      </c>
      <c r="D13" s="5">
        <f t="shared" si="1"/>
        <v>7</v>
      </c>
      <c r="E13" s="4"/>
      <c r="F13" s="4"/>
      <c r="G13" s="4"/>
      <c r="H13" s="5" t="str">
        <f t="shared" si="2"/>
        <v/>
      </c>
      <c r="I13" s="6"/>
      <c r="J13" s="7"/>
      <c r="K13" s="8"/>
      <c r="L13" s="9"/>
      <c r="M13" s="6"/>
      <c r="N13" s="7"/>
      <c r="O13" s="8"/>
      <c r="P13" s="9"/>
      <c r="Q13" s="6"/>
      <c r="R13" s="7"/>
      <c r="S13" s="8"/>
      <c r="T13" s="9"/>
      <c r="U13" s="6"/>
      <c r="V13" s="7"/>
      <c r="W13" s="8"/>
      <c r="X13" s="9"/>
      <c r="Y13" s="6"/>
      <c r="Z13" s="7"/>
      <c r="AA13" s="8"/>
      <c r="AB13" s="9"/>
      <c r="AC13" s="6"/>
      <c r="AD13" s="7"/>
      <c r="AE13" s="8"/>
      <c r="AF13" s="9"/>
      <c r="AG13" s="6"/>
      <c r="AH13" s="7"/>
      <c r="AI13" s="8"/>
      <c r="AJ13" s="9"/>
      <c r="AK13" s="6"/>
      <c r="AL13" s="7"/>
    </row>
    <row r="14" spans="1:38" x14ac:dyDescent="0.3">
      <c r="A14" s="4">
        <v>10</v>
      </c>
      <c r="B14" s="4" t="s">
        <v>24</v>
      </c>
      <c r="C14" s="4">
        <f t="shared" si="0"/>
        <v>0</v>
      </c>
      <c r="D14" s="5">
        <f t="shared" si="1"/>
        <v>7</v>
      </c>
      <c r="E14" s="4"/>
      <c r="F14" s="4"/>
      <c r="G14" s="4"/>
      <c r="H14" s="5" t="str">
        <f t="shared" si="2"/>
        <v/>
      </c>
      <c r="I14" s="6"/>
      <c r="J14" s="7"/>
      <c r="K14" s="8"/>
      <c r="L14" s="9"/>
      <c r="M14" s="6"/>
      <c r="N14" s="7"/>
      <c r="O14" s="8"/>
      <c r="P14" s="9"/>
      <c r="Q14" s="6"/>
      <c r="R14" s="7"/>
      <c r="S14" s="8"/>
      <c r="T14" s="9"/>
      <c r="U14" s="6"/>
      <c r="V14" s="7"/>
      <c r="W14" s="8"/>
      <c r="X14" s="9"/>
      <c r="Y14" s="6"/>
      <c r="Z14" s="7"/>
      <c r="AA14" s="8"/>
      <c r="AB14" s="9"/>
      <c r="AC14" s="6"/>
      <c r="AD14" s="7"/>
      <c r="AE14" s="8"/>
      <c r="AF14" s="9"/>
      <c r="AG14" s="6"/>
      <c r="AH14" s="7"/>
      <c r="AI14" s="8"/>
      <c r="AJ14" s="9"/>
      <c r="AK14" s="6"/>
      <c r="AL14" s="7"/>
    </row>
    <row r="15" spans="1:38" x14ac:dyDescent="0.3">
      <c r="A15" s="4">
        <v>11</v>
      </c>
      <c r="B15" s="4" t="s">
        <v>25</v>
      </c>
      <c r="C15" s="4">
        <f t="shared" si="0"/>
        <v>0</v>
      </c>
      <c r="D15" s="5">
        <f t="shared" si="1"/>
        <v>7</v>
      </c>
      <c r="E15" s="4"/>
      <c r="F15" s="4"/>
      <c r="G15" s="4"/>
      <c r="H15" s="5" t="str">
        <f t="shared" si="2"/>
        <v/>
      </c>
      <c r="I15" s="6"/>
      <c r="J15" s="7"/>
      <c r="K15" s="8"/>
      <c r="L15" s="9"/>
      <c r="M15" s="6"/>
      <c r="N15" s="7"/>
      <c r="O15" s="8"/>
      <c r="P15" s="9"/>
      <c r="Q15" s="6"/>
      <c r="R15" s="7"/>
      <c r="S15" s="8"/>
      <c r="T15" s="9"/>
      <c r="U15" s="6"/>
      <c r="V15" s="7"/>
      <c r="W15" s="8"/>
      <c r="X15" s="9"/>
      <c r="Y15" s="6"/>
      <c r="Z15" s="7"/>
      <c r="AA15" s="8"/>
      <c r="AB15" s="9"/>
      <c r="AC15" s="6"/>
      <c r="AD15" s="7"/>
      <c r="AE15" s="8"/>
      <c r="AF15" s="9"/>
      <c r="AG15" s="6"/>
      <c r="AH15" s="7"/>
      <c r="AI15" s="8"/>
      <c r="AJ15" s="9"/>
      <c r="AK15" s="6"/>
      <c r="AL15" s="7"/>
    </row>
    <row r="16" spans="1:38" x14ac:dyDescent="0.3">
      <c r="A16" s="4">
        <v>12</v>
      </c>
      <c r="B16" s="4" t="s">
        <v>26</v>
      </c>
      <c r="C16" s="4">
        <f t="shared" si="0"/>
        <v>0</v>
      </c>
      <c r="D16" s="5">
        <f t="shared" si="1"/>
        <v>7</v>
      </c>
      <c r="E16" s="4"/>
      <c r="F16" s="4"/>
      <c r="G16" s="4"/>
      <c r="H16" s="5" t="str">
        <f t="shared" si="2"/>
        <v/>
      </c>
      <c r="I16" s="6"/>
      <c r="J16" s="7"/>
      <c r="K16" s="8"/>
      <c r="L16" s="9"/>
      <c r="M16" s="6"/>
      <c r="N16" s="7"/>
      <c r="O16" s="8"/>
      <c r="P16" s="9"/>
      <c r="Q16" s="6"/>
      <c r="R16" s="7"/>
      <c r="S16" s="8"/>
      <c r="T16" s="9"/>
      <c r="U16" s="6"/>
      <c r="V16" s="7"/>
      <c r="W16" s="8"/>
      <c r="X16" s="9"/>
      <c r="Y16" s="6"/>
      <c r="Z16" s="7"/>
      <c r="AA16" s="8"/>
      <c r="AB16" s="9"/>
      <c r="AC16" s="6"/>
      <c r="AD16" s="7"/>
      <c r="AE16" s="8"/>
      <c r="AF16" s="9"/>
      <c r="AG16" s="6"/>
      <c r="AH16" s="7"/>
      <c r="AI16" s="8"/>
      <c r="AJ16" s="9"/>
      <c r="AK16" s="6"/>
      <c r="AL16" s="7"/>
    </row>
    <row r="17" spans="1:38" x14ac:dyDescent="0.3">
      <c r="A17" s="4">
        <v>13</v>
      </c>
      <c r="B17" s="4" t="s">
        <v>27</v>
      </c>
      <c r="C17" s="4">
        <f t="shared" si="0"/>
        <v>0</v>
      </c>
      <c r="D17" s="5">
        <f t="shared" si="1"/>
        <v>7</v>
      </c>
      <c r="E17" s="4"/>
      <c r="F17" s="4"/>
      <c r="G17" s="4"/>
      <c r="H17" s="5" t="str">
        <f t="shared" si="2"/>
        <v/>
      </c>
      <c r="I17" s="6"/>
      <c r="J17" s="7"/>
      <c r="K17" s="8"/>
      <c r="L17" s="9"/>
      <c r="M17" s="6"/>
      <c r="N17" s="7"/>
      <c r="O17" s="8"/>
      <c r="P17" s="9"/>
      <c r="Q17" s="6"/>
      <c r="R17" s="7"/>
      <c r="S17" s="8"/>
      <c r="T17" s="9"/>
      <c r="U17" s="6"/>
      <c r="V17" s="7"/>
      <c r="W17" s="8"/>
      <c r="X17" s="9"/>
      <c r="Y17" s="6"/>
      <c r="Z17" s="7"/>
      <c r="AA17" s="8"/>
      <c r="AB17" s="9"/>
      <c r="AC17" s="6"/>
      <c r="AD17" s="7"/>
      <c r="AE17" s="8"/>
      <c r="AF17" s="9"/>
      <c r="AG17" s="6"/>
      <c r="AH17" s="7"/>
      <c r="AI17" s="8"/>
      <c r="AJ17" s="9"/>
      <c r="AK17" s="6"/>
      <c r="AL17" s="7"/>
    </row>
    <row r="18" spans="1:38" x14ac:dyDescent="0.3">
      <c r="A18" s="4">
        <v>14</v>
      </c>
      <c r="B18" s="4" t="s">
        <v>28</v>
      </c>
      <c r="C18" s="4">
        <f t="shared" si="0"/>
        <v>0</v>
      </c>
      <c r="D18" s="5">
        <f t="shared" si="1"/>
        <v>7</v>
      </c>
      <c r="E18" s="4"/>
      <c r="F18" s="4"/>
      <c r="G18" s="4"/>
      <c r="H18" s="5" t="str">
        <f t="shared" si="2"/>
        <v/>
      </c>
      <c r="I18" s="6"/>
      <c r="J18" s="7"/>
      <c r="K18" s="8"/>
      <c r="L18" s="9"/>
      <c r="M18" s="6"/>
      <c r="N18" s="7"/>
      <c r="O18" s="8"/>
      <c r="P18" s="9"/>
      <c r="Q18" s="6"/>
      <c r="R18" s="7"/>
      <c r="S18" s="8"/>
      <c r="T18" s="9"/>
      <c r="U18" s="6"/>
      <c r="V18" s="7"/>
      <c r="W18" s="8"/>
      <c r="X18" s="9"/>
      <c r="Y18" s="6"/>
      <c r="Z18" s="7"/>
      <c r="AA18" s="8"/>
      <c r="AB18" s="9"/>
      <c r="AC18" s="6"/>
      <c r="AD18" s="7"/>
      <c r="AE18" s="8"/>
      <c r="AF18" s="9"/>
      <c r="AG18" s="6"/>
      <c r="AH18" s="7"/>
      <c r="AI18" s="8"/>
      <c r="AJ18" s="9"/>
      <c r="AK18" s="6"/>
      <c r="AL18" s="7"/>
    </row>
    <row r="19" spans="1:38" x14ac:dyDescent="0.3">
      <c r="A19" s="4">
        <v>15</v>
      </c>
      <c r="B19" s="4" t="s">
        <v>29</v>
      </c>
      <c r="C19" s="4">
        <f t="shared" si="0"/>
        <v>0</v>
      </c>
      <c r="D19" s="5">
        <f t="shared" si="1"/>
        <v>7</v>
      </c>
      <c r="E19" s="4"/>
      <c r="F19" s="4"/>
      <c r="G19" s="4"/>
      <c r="H19" s="5" t="str">
        <f t="shared" si="2"/>
        <v/>
      </c>
      <c r="I19" s="6"/>
      <c r="J19" s="7"/>
      <c r="K19" s="8"/>
      <c r="L19" s="9"/>
      <c r="M19" s="6"/>
      <c r="N19" s="7"/>
      <c r="O19" s="8"/>
      <c r="P19" s="9"/>
      <c r="Q19" s="6"/>
      <c r="R19" s="7"/>
      <c r="S19" s="8"/>
      <c r="T19" s="9"/>
      <c r="U19" s="6"/>
      <c r="V19" s="7"/>
      <c r="W19" s="8"/>
      <c r="X19" s="9"/>
      <c r="Y19" s="6"/>
      <c r="Z19" s="7"/>
      <c r="AA19" s="8"/>
      <c r="AB19" s="9"/>
      <c r="AC19" s="6"/>
      <c r="AD19" s="7"/>
      <c r="AE19" s="8"/>
      <c r="AF19" s="9"/>
      <c r="AG19" s="6"/>
      <c r="AH19" s="7"/>
      <c r="AI19" s="8"/>
      <c r="AJ19" s="9"/>
      <c r="AK19" s="6"/>
      <c r="AL19" s="7"/>
    </row>
    <row r="20" spans="1:38" x14ac:dyDescent="0.3">
      <c r="A20" s="4">
        <v>16</v>
      </c>
      <c r="B20" s="4" t="s">
        <v>30</v>
      </c>
      <c r="C20" s="4">
        <f t="shared" si="0"/>
        <v>0</v>
      </c>
      <c r="D20" s="5">
        <f t="shared" si="1"/>
        <v>7</v>
      </c>
      <c r="E20" s="4"/>
      <c r="F20" s="4"/>
      <c r="G20" s="4"/>
      <c r="H20" s="5" t="str">
        <f t="shared" si="2"/>
        <v/>
      </c>
      <c r="I20" s="6"/>
      <c r="J20" s="7"/>
      <c r="K20" s="8"/>
      <c r="L20" s="9"/>
      <c r="M20" s="6"/>
      <c r="N20" s="7"/>
      <c r="O20" s="8"/>
      <c r="P20" s="9"/>
      <c r="Q20" s="6"/>
      <c r="R20" s="7"/>
      <c r="S20" s="8"/>
      <c r="T20" s="9"/>
      <c r="U20" s="6"/>
      <c r="V20" s="7"/>
      <c r="W20" s="8"/>
      <c r="X20" s="9"/>
      <c r="Y20" s="6"/>
      <c r="Z20" s="7"/>
      <c r="AA20" s="8"/>
      <c r="AB20" s="9"/>
      <c r="AC20" s="6"/>
      <c r="AD20" s="7"/>
      <c r="AE20" s="8"/>
      <c r="AF20" s="9"/>
      <c r="AG20" s="6"/>
      <c r="AH20" s="7"/>
      <c r="AI20" s="8"/>
      <c r="AJ20" s="9"/>
      <c r="AK20" s="6"/>
      <c r="AL20" s="7"/>
    </row>
    <row r="21" spans="1:38" x14ac:dyDescent="0.3">
      <c r="A21" s="4">
        <v>17</v>
      </c>
      <c r="B21" s="4" t="s">
        <v>31</v>
      </c>
      <c r="C21" s="4">
        <f t="shared" si="0"/>
        <v>0</v>
      </c>
      <c r="D21" s="5">
        <f t="shared" si="1"/>
        <v>7</v>
      </c>
      <c r="E21" s="4"/>
      <c r="F21" s="4"/>
      <c r="G21" s="4"/>
      <c r="H21" s="5" t="str">
        <f t="shared" si="2"/>
        <v/>
      </c>
      <c r="I21" s="6"/>
      <c r="J21" s="7"/>
      <c r="K21" s="8"/>
      <c r="L21" s="9"/>
      <c r="M21" s="6"/>
      <c r="N21" s="7"/>
      <c r="O21" s="8"/>
      <c r="P21" s="9"/>
      <c r="Q21" s="6"/>
      <c r="R21" s="7"/>
      <c r="S21" s="8"/>
      <c r="T21" s="9"/>
      <c r="U21" s="6"/>
      <c r="V21" s="7"/>
      <c r="W21" s="8"/>
      <c r="X21" s="9"/>
      <c r="Y21" s="6"/>
      <c r="Z21" s="7"/>
      <c r="AA21" s="8"/>
      <c r="AB21" s="9"/>
      <c r="AC21" s="6"/>
      <c r="AD21" s="7"/>
      <c r="AE21" s="8"/>
      <c r="AF21" s="9"/>
      <c r="AG21" s="6"/>
      <c r="AH21" s="7"/>
      <c r="AI21" s="8"/>
      <c r="AJ21" s="9"/>
      <c r="AK21" s="6"/>
      <c r="AL21" s="7"/>
    </row>
  </sheetData>
  <mergeCells count="1">
    <mergeCell ref="A1:H1"/>
  </mergeCells>
  <conditionalFormatting sqref="D5:D21">
    <cfRule type="cellIs" dxfId="11" priority="1" operator="lessThan">
      <formula>0</formula>
    </cfRule>
    <cfRule type="cellIs" dxfId="10" priority="2" operator="between">
      <formula>1</formula>
      <formula>3</formula>
    </cfRule>
    <cfRule type="cellIs" dxfId="9" priority="3" operator="greaterThan">
      <formula>3</formula>
    </cfRule>
  </conditionalFormatting>
  <dataValidations count="2">
    <dataValidation type="list" allowBlank="1" prompt="Επιλέξτε αριθμό απουσιών (1-3)" sqref="J5 J6 J7 J8 J9 J10 J11 J12 J13 J14 J15 J16 J17 J18 J19 J20 J21 L5 L6 L7 L8 L9 L10 L11 L12 L13 L14 L15 L16 L17 L18 L19 L20 L21 N5 N6 N7 N8 N9 N10 N11 N12 N13 N14 N15 N16 N17 N18 N19 N20 N21 P5 P6 P7 P8 P9 P10 P11 P12 P13 P14 P15 P16 P17 P18 P19 P20 P21 R5 R6 R7 R8 R9 R10 R11 R12 R13 R14 R15 R16 R17 R18 R19 R20 R21 T5 T6 T7 T8 T9 T10 T11 T12 T13 T14 T15 T16 T17 T18 T19 T20 T21 V5 V6 V7 V8 V9 V10 V11 V12 V13 V14 V15 V16 V17 V18 V19 V20 V21 X5 X6 X7 X8 X9 X10 X11 X12 X13 X14 X15 X16 X17 X18 X19 X20 X21 Z5 Z6 Z7 Z8 Z9 Z10 Z11 Z12 Z13 Z14 Z15 Z16 Z17 Z18 Z19 Z20 Z21 AB5 AB6 AB7 AB8 AB9 AB10 AB11 AB12 AB13 AB14 AB15 AB16 AB17 AB18 AB19 AB20 AB21 AD5 AD6 AD7 AD8 AD9 AD10 AD11 AD12 AD13 AD14 AD15 AD16 AD17 AD18 AD19 AD20 AD21 AF5 AF6 AF7 AF8 AF9 AF10 AF11 AF12 AF13 AF14 AF15 AF16 AF17 AF18 AF19 AF20 AF21 AH5 AH6 AH7 AH8 AH9 AH10 AH11 AH12 AH13 AH14 AH15 AH16 AH17 AH18 AH19 AH20 AH21 AJ5 AJ6 AJ7 AJ8 AJ9 AJ10 AJ11 AJ12 AJ13 AJ14 AJ15 AJ16 AJ17 AJ18 AJ19 AJ20 AJ21 AL5 AL6 AL7 AL8 AL9 AL10 AL11 AL12 AL13 AL14 AL15 AL16 AL17 AL18 AL19 AL20 AL21" xr:uid="{00000000-0002-0000-0100-000000000000}">
      <formula1>"1,2,3"</formula1>
    </dataValidation>
    <dataValidation type="date" operator="greaterThan" allowBlank="1" prompt="Κλικ για popup ημερολόγιο" sqref="I5 I6 I7 I8 I9 I10 I11 I12 I13 I14 I15 I16 I17 I18 I19 I20 I21 K5 K6 K7 K8 K9 K10 K11 K12 K13 K14 K15 K16 K17 K18 K19 K20 K21 M5 M6 M7 M8 M9 M10 M11 M12 M13 M14 M15 M16 M17 M18 M19 M20 M21 O5 O6 O7 O8 O9 O10 O11 O12 O13 O14 O15 O16 O17 O18 O19 O20 O21 Q5 Q6 Q7 Q8 Q9 Q10 Q11 Q12 Q13 Q14 Q15 Q16 Q17 Q18 Q19 Q20 Q21 S5 S6 S7 S8 S9 S10 S11 S12 S13 S14 S15 S16 S17 S18 S19 S20 S21 U5 U6 U7 U8 U9 U10 U11 U12 U13 U14 U15 U16 U17 U18 U19 U20 U21 W5 W6 W7 W8 W9 W10 W11 W12 W13 W14 W15 W16 W17 W18 W19 W20 W21 Y5 Y6 Y7 Y8 Y9 Y10 Y11 Y12 Y13 Y14 Y15 Y16 Y17 Y18 Y19 Y20 Y21 AA5 AA6 AA7 AA8 AA9 AA10 AA11 AA12 AA13 AA14 AA15 AA16 AA17 AA18 AA19 AA20 AA21 AC5 AC6 AC7 AC8 AC9 AC10 AC11 AC12 AC13 AC14 AC15 AC16 AC17 AC18 AC19 AC20 AC21 AE5 AE6 AE7 AE8 AE9 AE10 AE11 AE12 AE13 AE14 AE15 AE16 AE17 AE18 AE19 AE20 AE21 AG5 AG6 AG7 AG8 AG9 AG10 AG11 AG12 AG13 AG14 AG15 AG16 AG17 AG18 AG19 AG20 AG21 AI5 AI6 AI7 AI8 AI9 AI10 AI11 AI12 AI13 AI14 AI15 AI16 AI17 AI18 AI19 AI20 AI21 AK5 AK6 AK7 AK8 AK9 AK10 AK11 AK12 AK13 AK14 AK15 AK16 AK17 AK18 AK19 AK20 AK21" xr:uid="{00000000-0002-0000-0100-000001000000}">
      <formula1>DATE(2024,1,1)</formula1>
    </dataValidation>
  </dataValidations>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L21"/>
  <sheetViews>
    <sheetView workbookViewId="0"/>
  </sheetViews>
  <sheetFormatPr defaultRowHeight="14.4" x14ac:dyDescent="0.3"/>
  <cols>
    <col min="1" max="1" width="5" customWidth="1"/>
    <col min="2" max="2" width="25" customWidth="1"/>
    <col min="3" max="3" width="10" customWidth="1"/>
    <col min="4" max="4" width="12" customWidth="1"/>
    <col min="5" max="7" width="10" customWidth="1"/>
    <col min="8" max="8" width="8" customWidth="1"/>
    <col min="9" max="9" width="11" customWidth="1"/>
    <col min="10" max="10" width="6" customWidth="1"/>
    <col min="11" max="11" width="11" customWidth="1"/>
    <col min="12" max="12" width="6" customWidth="1"/>
    <col min="13" max="13" width="11" customWidth="1"/>
    <col min="14" max="14" width="6" customWidth="1"/>
    <col min="15" max="15" width="11" customWidth="1"/>
    <col min="16" max="16" width="6" customWidth="1"/>
    <col min="17" max="17" width="11" customWidth="1"/>
    <col min="18" max="18" width="6" customWidth="1"/>
    <col min="19" max="19" width="11" customWidth="1"/>
    <col min="20" max="20" width="6" customWidth="1"/>
    <col min="21" max="21" width="11" customWidth="1"/>
    <col min="22" max="22" width="6" customWidth="1"/>
    <col min="23" max="23" width="11" customWidth="1"/>
    <col min="24" max="24" width="6" customWidth="1"/>
    <col min="25" max="25" width="11" customWidth="1"/>
    <col min="26" max="26" width="6" customWidth="1"/>
    <col min="27" max="27" width="11" customWidth="1"/>
    <col min="28" max="28" width="6" customWidth="1"/>
    <col min="29" max="29" width="11" customWidth="1"/>
    <col min="30" max="30" width="6" customWidth="1"/>
    <col min="31" max="31" width="11" customWidth="1"/>
    <col min="32" max="32" width="6" customWidth="1"/>
    <col min="33" max="33" width="11" customWidth="1"/>
    <col min="34" max="34" width="6" customWidth="1"/>
    <col min="35" max="35" width="11" customWidth="1"/>
    <col min="36" max="36" width="6" customWidth="1"/>
    <col min="37" max="37" width="11" customWidth="1"/>
    <col min="38" max="38" width="6" customWidth="1"/>
  </cols>
  <sheetData>
    <row r="1" spans="1:38" x14ac:dyDescent="0.3">
      <c r="A1" s="12" t="s">
        <v>74</v>
      </c>
      <c r="B1" s="11"/>
      <c r="C1" s="11"/>
      <c r="D1" s="11"/>
      <c r="E1" s="11"/>
      <c r="F1" s="11"/>
      <c r="G1" s="11"/>
      <c r="H1" s="11"/>
    </row>
    <row r="2" spans="1:38" x14ac:dyDescent="0.3">
      <c r="A2" s="3" t="s">
        <v>75</v>
      </c>
      <c r="B2" s="3" t="s">
        <v>76</v>
      </c>
      <c r="C2" s="3" t="s">
        <v>35</v>
      </c>
      <c r="D2" s="3" t="s">
        <v>77</v>
      </c>
      <c r="E2" s="3" t="s">
        <v>78</v>
      </c>
    </row>
    <row r="4" spans="1:38" ht="28.8" x14ac:dyDescent="0.3">
      <c r="A4" s="1" t="s">
        <v>1</v>
      </c>
      <c r="B4" s="1" t="s">
        <v>2</v>
      </c>
      <c r="C4" s="1" t="s">
        <v>38</v>
      </c>
      <c r="D4" s="1" t="s">
        <v>39</v>
      </c>
      <c r="E4" s="1" t="s">
        <v>40</v>
      </c>
      <c r="F4" s="1" t="s">
        <v>41</v>
      </c>
      <c r="G4" s="1" t="s">
        <v>42</v>
      </c>
      <c r="H4" s="1" t="s">
        <v>43</v>
      </c>
      <c r="I4" s="1" t="s">
        <v>44</v>
      </c>
      <c r="J4" s="1" t="s">
        <v>45</v>
      </c>
      <c r="K4" s="1" t="s">
        <v>46</v>
      </c>
      <c r="L4" s="1" t="s">
        <v>47</v>
      </c>
      <c r="M4" s="1" t="s">
        <v>48</v>
      </c>
      <c r="N4" s="1" t="s">
        <v>49</v>
      </c>
      <c r="O4" s="1" t="s">
        <v>50</v>
      </c>
      <c r="P4" s="1" t="s">
        <v>51</v>
      </c>
      <c r="Q4" s="1" t="s">
        <v>52</v>
      </c>
      <c r="R4" s="1" t="s">
        <v>53</v>
      </c>
      <c r="S4" s="1" t="s">
        <v>54</v>
      </c>
      <c r="T4" s="1" t="s">
        <v>55</v>
      </c>
      <c r="U4" s="1" t="s">
        <v>56</v>
      </c>
      <c r="V4" s="1" t="s">
        <v>57</v>
      </c>
      <c r="W4" s="1" t="s">
        <v>58</v>
      </c>
      <c r="X4" s="1" t="s">
        <v>59</v>
      </c>
      <c r="Y4" s="1" t="s">
        <v>60</v>
      </c>
      <c r="Z4" s="1" t="s">
        <v>61</v>
      </c>
      <c r="AA4" s="1" t="s">
        <v>62</v>
      </c>
      <c r="AB4" s="1" t="s">
        <v>63</v>
      </c>
      <c r="AC4" s="1" t="s">
        <v>64</v>
      </c>
      <c r="AD4" s="1" t="s">
        <v>65</v>
      </c>
      <c r="AE4" s="1" t="s">
        <v>66</v>
      </c>
      <c r="AF4" s="1" t="s">
        <v>67</v>
      </c>
      <c r="AG4" s="1" t="s">
        <v>68</v>
      </c>
      <c r="AH4" s="1" t="s">
        <v>69</v>
      </c>
      <c r="AI4" s="1" t="s">
        <v>70</v>
      </c>
      <c r="AJ4" s="1" t="s">
        <v>71</v>
      </c>
      <c r="AK4" s="1" t="s">
        <v>72</v>
      </c>
      <c r="AL4" s="1" t="s">
        <v>73</v>
      </c>
    </row>
    <row r="5" spans="1:38" x14ac:dyDescent="0.3">
      <c r="A5" s="4">
        <v>1</v>
      </c>
      <c r="B5" s="4" t="s">
        <v>15</v>
      </c>
      <c r="C5" s="4">
        <f t="shared" ref="C5:C21" si="0">SUM(J5:AL5)</f>
        <v>0</v>
      </c>
      <c r="D5" s="5">
        <f t="shared" ref="D5:D21" si="1">5-C5</f>
        <v>5</v>
      </c>
      <c r="E5" s="4"/>
      <c r="F5" s="4"/>
      <c r="G5" s="4"/>
      <c r="H5" s="5" t="str">
        <f t="shared" ref="H5:H21" si="2">IF(AND(E5&lt;&gt;"",F5&lt;&gt;"",G5&lt;&gt;""),ROUND(E5*0.3+F5*0.1+G5*0.6,0),"")</f>
        <v/>
      </c>
      <c r="I5" s="6"/>
      <c r="J5" s="7"/>
      <c r="K5" s="8"/>
      <c r="L5" s="9"/>
      <c r="M5" s="6"/>
      <c r="N5" s="7"/>
      <c r="O5" s="8"/>
      <c r="P5" s="9"/>
      <c r="Q5" s="6"/>
      <c r="R5" s="7"/>
      <c r="S5" s="8"/>
      <c r="T5" s="9"/>
      <c r="U5" s="6"/>
      <c r="V5" s="7"/>
      <c r="W5" s="8"/>
      <c r="X5" s="9"/>
      <c r="Y5" s="6"/>
      <c r="Z5" s="7"/>
      <c r="AA5" s="8"/>
      <c r="AB5" s="9"/>
      <c r="AC5" s="6"/>
      <c r="AD5" s="7"/>
      <c r="AE5" s="8"/>
      <c r="AF5" s="9"/>
      <c r="AG5" s="6"/>
      <c r="AH5" s="7"/>
      <c r="AI5" s="8"/>
      <c r="AJ5" s="9"/>
      <c r="AK5" s="6"/>
      <c r="AL5" s="7"/>
    </row>
    <row r="6" spans="1:38" x14ac:dyDescent="0.3">
      <c r="A6" s="4">
        <v>2</v>
      </c>
      <c r="B6" s="4" t="s">
        <v>16</v>
      </c>
      <c r="C6" s="4">
        <f t="shared" si="0"/>
        <v>0</v>
      </c>
      <c r="D6" s="5">
        <f t="shared" si="1"/>
        <v>5</v>
      </c>
      <c r="E6" s="4"/>
      <c r="F6" s="4"/>
      <c r="G6" s="4"/>
      <c r="H6" s="5" t="str">
        <f t="shared" si="2"/>
        <v/>
      </c>
      <c r="I6" s="6"/>
      <c r="J6" s="7"/>
      <c r="K6" s="8"/>
      <c r="L6" s="9"/>
      <c r="M6" s="6"/>
      <c r="N6" s="7"/>
      <c r="O6" s="8"/>
      <c r="P6" s="9"/>
      <c r="Q6" s="6"/>
      <c r="R6" s="7"/>
      <c r="S6" s="8"/>
      <c r="T6" s="9"/>
      <c r="U6" s="6"/>
      <c r="V6" s="7"/>
      <c r="W6" s="8"/>
      <c r="X6" s="9"/>
      <c r="Y6" s="6"/>
      <c r="Z6" s="7"/>
      <c r="AA6" s="8"/>
      <c r="AB6" s="9"/>
      <c r="AC6" s="6"/>
      <c r="AD6" s="7"/>
      <c r="AE6" s="8"/>
      <c r="AF6" s="9"/>
      <c r="AG6" s="6"/>
      <c r="AH6" s="7"/>
      <c r="AI6" s="8"/>
      <c r="AJ6" s="9"/>
      <c r="AK6" s="6"/>
      <c r="AL6" s="7"/>
    </row>
    <row r="7" spans="1:38" x14ac:dyDescent="0.3">
      <c r="A7" s="4">
        <v>3</v>
      </c>
      <c r="B7" s="4" t="s">
        <v>17</v>
      </c>
      <c r="C7" s="4">
        <f t="shared" si="0"/>
        <v>0</v>
      </c>
      <c r="D7" s="5">
        <f t="shared" si="1"/>
        <v>5</v>
      </c>
      <c r="E7" s="4"/>
      <c r="F7" s="4"/>
      <c r="G7" s="4"/>
      <c r="H7" s="5" t="str">
        <f t="shared" si="2"/>
        <v/>
      </c>
      <c r="I7" s="6"/>
      <c r="J7" s="7"/>
      <c r="K7" s="8"/>
      <c r="L7" s="9"/>
      <c r="M7" s="6"/>
      <c r="N7" s="7"/>
      <c r="O7" s="8"/>
      <c r="P7" s="9"/>
      <c r="Q7" s="6"/>
      <c r="R7" s="7"/>
      <c r="S7" s="8"/>
      <c r="T7" s="9"/>
      <c r="U7" s="6"/>
      <c r="V7" s="7"/>
      <c r="W7" s="8"/>
      <c r="X7" s="9"/>
      <c r="Y7" s="6"/>
      <c r="Z7" s="7"/>
      <c r="AA7" s="8"/>
      <c r="AB7" s="9"/>
      <c r="AC7" s="6"/>
      <c r="AD7" s="7"/>
      <c r="AE7" s="8"/>
      <c r="AF7" s="9"/>
      <c r="AG7" s="6"/>
      <c r="AH7" s="7"/>
      <c r="AI7" s="8"/>
      <c r="AJ7" s="9"/>
      <c r="AK7" s="6"/>
      <c r="AL7" s="7"/>
    </row>
    <row r="8" spans="1:38" x14ac:dyDescent="0.3">
      <c r="A8" s="4">
        <v>4</v>
      </c>
      <c r="B8" s="4" t="s">
        <v>18</v>
      </c>
      <c r="C8" s="4">
        <f t="shared" si="0"/>
        <v>0</v>
      </c>
      <c r="D8" s="5">
        <f t="shared" si="1"/>
        <v>5</v>
      </c>
      <c r="E8" s="4"/>
      <c r="F8" s="4"/>
      <c r="G8" s="4"/>
      <c r="H8" s="5" t="str">
        <f t="shared" si="2"/>
        <v/>
      </c>
      <c r="I8" s="6"/>
      <c r="J8" s="7"/>
      <c r="K8" s="8"/>
      <c r="L8" s="9"/>
      <c r="M8" s="6"/>
      <c r="N8" s="7"/>
      <c r="O8" s="8"/>
      <c r="P8" s="9"/>
      <c r="Q8" s="6"/>
      <c r="R8" s="7"/>
      <c r="S8" s="8"/>
      <c r="T8" s="9"/>
      <c r="U8" s="6"/>
      <c r="V8" s="7"/>
      <c r="W8" s="8"/>
      <c r="X8" s="9"/>
      <c r="Y8" s="6"/>
      <c r="Z8" s="7"/>
      <c r="AA8" s="8"/>
      <c r="AB8" s="9"/>
      <c r="AC8" s="6"/>
      <c r="AD8" s="7"/>
      <c r="AE8" s="8"/>
      <c r="AF8" s="9"/>
      <c r="AG8" s="6"/>
      <c r="AH8" s="7"/>
      <c r="AI8" s="8"/>
      <c r="AJ8" s="9"/>
      <c r="AK8" s="6"/>
      <c r="AL8" s="7"/>
    </row>
    <row r="9" spans="1:38" x14ac:dyDescent="0.3">
      <c r="A9" s="4">
        <v>5</v>
      </c>
      <c r="B9" s="4" t="s">
        <v>19</v>
      </c>
      <c r="C9" s="4">
        <f t="shared" si="0"/>
        <v>0</v>
      </c>
      <c r="D9" s="5">
        <f t="shared" si="1"/>
        <v>5</v>
      </c>
      <c r="E9" s="4"/>
      <c r="F9" s="4"/>
      <c r="G9" s="4"/>
      <c r="H9" s="5" t="str">
        <f t="shared" si="2"/>
        <v/>
      </c>
      <c r="I9" s="6"/>
      <c r="J9" s="7"/>
      <c r="K9" s="8"/>
      <c r="L9" s="9"/>
      <c r="M9" s="6"/>
      <c r="N9" s="7"/>
      <c r="O9" s="8"/>
      <c r="P9" s="9"/>
      <c r="Q9" s="6"/>
      <c r="R9" s="7"/>
      <c r="S9" s="8"/>
      <c r="T9" s="9"/>
      <c r="U9" s="6"/>
      <c r="V9" s="7"/>
      <c r="W9" s="8"/>
      <c r="X9" s="9"/>
      <c r="Y9" s="6"/>
      <c r="Z9" s="7"/>
      <c r="AA9" s="8"/>
      <c r="AB9" s="9"/>
      <c r="AC9" s="6"/>
      <c r="AD9" s="7"/>
      <c r="AE9" s="8"/>
      <c r="AF9" s="9"/>
      <c r="AG9" s="6"/>
      <c r="AH9" s="7"/>
      <c r="AI9" s="8"/>
      <c r="AJ9" s="9"/>
      <c r="AK9" s="6"/>
      <c r="AL9" s="7"/>
    </row>
    <row r="10" spans="1:38" x14ac:dyDescent="0.3">
      <c r="A10" s="4">
        <v>6</v>
      </c>
      <c r="B10" s="4" t="s">
        <v>20</v>
      </c>
      <c r="C10" s="4">
        <f t="shared" si="0"/>
        <v>0</v>
      </c>
      <c r="D10" s="5">
        <f t="shared" si="1"/>
        <v>5</v>
      </c>
      <c r="E10" s="4"/>
      <c r="F10" s="4"/>
      <c r="G10" s="4"/>
      <c r="H10" s="5" t="str">
        <f t="shared" si="2"/>
        <v/>
      </c>
      <c r="I10" s="6"/>
      <c r="J10" s="7"/>
      <c r="K10" s="8"/>
      <c r="L10" s="9"/>
      <c r="M10" s="6"/>
      <c r="N10" s="7"/>
      <c r="O10" s="8"/>
      <c r="P10" s="9"/>
      <c r="Q10" s="6"/>
      <c r="R10" s="7"/>
      <c r="S10" s="8"/>
      <c r="T10" s="9"/>
      <c r="U10" s="6"/>
      <c r="V10" s="7"/>
      <c r="W10" s="8"/>
      <c r="X10" s="9"/>
      <c r="Y10" s="6"/>
      <c r="Z10" s="7"/>
      <c r="AA10" s="8"/>
      <c r="AB10" s="9"/>
      <c r="AC10" s="6"/>
      <c r="AD10" s="7"/>
      <c r="AE10" s="8"/>
      <c r="AF10" s="9"/>
      <c r="AG10" s="6"/>
      <c r="AH10" s="7"/>
      <c r="AI10" s="8"/>
      <c r="AJ10" s="9"/>
      <c r="AK10" s="6"/>
      <c r="AL10" s="7"/>
    </row>
    <row r="11" spans="1:38" x14ac:dyDescent="0.3">
      <c r="A11" s="4">
        <v>7</v>
      </c>
      <c r="B11" s="4" t="s">
        <v>21</v>
      </c>
      <c r="C11" s="4">
        <f t="shared" si="0"/>
        <v>0</v>
      </c>
      <c r="D11" s="5">
        <f t="shared" si="1"/>
        <v>5</v>
      </c>
      <c r="E11" s="4"/>
      <c r="F11" s="4"/>
      <c r="G11" s="4"/>
      <c r="H11" s="5" t="str">
        <f t="shared" si="2"/>
        <v/>
      </c>
      <c r="I11" s="6"/>
      <c r="J11" s="7"/>
      <c r="K11" s="8"/>
      <c r="L11" s="9"/>
      <c r="M11" s="6"/>
      <c r="N11" s="7"/>
      <c r="O11" s="8"/>
      <c r="P11" s="9"/>
      <c r="Q11" s="6"/>
      <c r="R11" s="7"/>
      <c r="S11" s="8"/>
      <c r="T11" s="9"/>
      <c r="U11" s="6"/>
      <c r="V11" s="7"/>
      <c r="W11" s="8"/>
      <c r="X11" s="9"/>
      <c r="Y11" s="6"/>
      <c r="Z11" s="7"/>
      <c r="AA11" s="8"/>
      <c r="AB11" s="9"/>
      <c r="AC11" s="6"/>
      <c r="AD11" s="7"/>
      <c r="AE11" s="8"/>
      <c r="AF11" s="9"/>
      <c r="AG11" s="6"/>
      <c r="AH11" s="7"/>
      <c r="AI11" s="8"/>
      <c r="AJ11" s="9"/>
      <c r="AK11" s="6"/>
      <c r="AL11" s="7"/>
    </row>
    <row r="12" spans="1:38" x14ac:dyDescent="0.3">
      <c r="A12" s="4">
        <v>8</v>
      </c>
      <c r="B12" s="4" t="s">
        <v>22</v>
      </c>
      <c r="C12" s="4">
        <f t="shared" si="0"/>
        <v>0</v>
      </c>
      <c r="D12" s="5">
        <f t="shared" si="1"/>
        <v>5</v>
      </c>
      <c r="E12" s="4"/>
      <c r="F12" s="4"/>
      <c r="G12" s="4"/>
      <c r="H12" s="5" t="str">
        <f t="shared" si="2"/>
        <v/>
      </c>
      <c r="I12" s="6"/>
      <c r="J12" s="7"/>
      <c r="K12" s="8"/>
      <c r="L12" s="9"/>
      <c r="M12" s="6"/>
      <c r="N12" s="7"/>
      <c r="O12" s="8"/>
      <c r="P12" s="9"/>
      <c r="Q12" s="6"/>
      <c r="R12" s="7"/>
      <c r="S12" s="8"/>
      <c r="T12" s="9"/>
      <c r="U12" s="6"/>
      <c r="V12" s="7"/>
      <c r="W12" s="8"/>
      <c r="X12" s="9"/>
      <c r="Y12" s="6"/>
      <c r="Z12" s="7"/>
      <c r="AA12" s="8"/>
      <c r="AB12" s="9"/>
      <c r="AC12" s="6"/>
      <c r="AD12" s="7"/>
      <c r="AE12" s="8"/>
      <c r="AF12" s="9"/>
      <c r="AG12" s="6"/>
      <c r="AH12" s="7"/>
      <c r="AI12" s="8"/>
      <c r="AJ12" s="9"/>
      <c r="AK12" s="6"/>
      <c r="AL12" s="7"/>
    </row>
    <row r="13" spans="1:38" x14ac:dyDescent="0.3">
      <c r="A13" s="4">
        <v>9</v>
      </c>
      <c r="B13" s="4" t="s">
        <v>23</v>
      </c>
      <c r="C13" s="4">
        <f t="shared" si="0"/>
        <v>0</v>
      </c>
      <c r="D13" s="5">
        <f t="shared" si="1"/>
        <v>5</v>
      </c>
      <c r="E13" s="4"/>
      <c r="F13" s="4"/>
      <c r="G13" s="4"/>
      <c r="H13" s="5" t="str">
        <f t="shared" si="2"/>
        <v/>
      </c>
      <c r="I13" s="6"/>
      <c r="J13" s="7"/>
      <c r="K13" s="8"/>
      <c r="L13" s="9"/>
      <c r="M13" s="6"/>
      <c r="N13" s="7"/>
      <c r="O13" s="8"/>
      <c r="P13" s="9"/>
      <c r="Q13" s="6"/>
      <c r="R13" s="7"/>
      <c r="S13" s="8"/>
      <c r="T13" s="9"/>
      <c r="U13" s="6"/>
      <c r="V13" s="7"/>
      <c r="W13" s="8"/>
      <c r="X13" s="9"/>
      <c r="Y13" s="6"/>
      <c r="Z13" s="7"/>
      <c r="AA13" s="8"/>
      <c r="AB13" s="9"/>
      <c r="AC13" s="6"/>
      <c r="AD13" s="7"/>
      <c r="AE13" s="8"/>
      <c r="AF13" s="9"/>
      <c r="AG13" s="6"/>
      <c r="AH13" s="7"/>
      <c r="AI13" s="8"/>
      <c r="AJ13" s="9"/>
      <c r="AK13" s="6"/>
      <c r="AL13" s="7"/>
    </row>
    <row r="14" spans="1:38" x14ac:dyDescent="0.3">
      <c r="A14" s="4">
        <v>10</v>
      </c>
      <c r="B14" s="4" t="s">
        <v>24</v>
      </c>
      <c r="C14" s="4">
        <f t="shared" si="0"/>
        <v>0</v>
      </c>
      <c r="D14" s="5">
        <f t="shared" si="1"/>
        <v>5</v>
      </c>
      <c r="E14" s="4"/>
      <c r="F14" s="4"/>
      <c r="G14" s="4"/>
      <c r="H14" s="5" t="str">
        <f t="shared" si="2"/>
        <v/>
      </c>
      <c r="I14" s="6"/>
      <c r="J14" s="7"/>
      <c r="K14" s="8"/>
      <c r="L14" s="9"/>
      <c r="M14" s="6"/>
      <c r="N14" s="7"/>
      <c r="O14" s="8"/>
      <c r="P14" s="9"/>
      <c r="Q14" s="6"/>
      <c r="R14" s="7"/>
      <c r="S14" s="8"/>
      <c r="T14" s="9"/>
      <c r="U14" s="6"/>
      <c r="V14" s="7"/>
      <c r="W14" s="8"/>
      <c r="X14" s="9"/>
      <c r="Y14" s="6"/>
      <c r="Z14" s="7"/>
      <c r="AA14" s="8"/>
      <c r="AB14" s="9"/>
      <c r="AC14" s="6"/>
      <c r="AD14" s="7"/>
      <c r="AE14" s="8"/>
      <c r="AF14" s="9"/>
      <c r="AG14" s="6"/>
      <c r="AH14" s="7"/>
      <c r="AI14" s="8"/>
      <c r="AJ14" s="9"/>
      <c r="AK14" s="6"/>
      <c r="AL14" s="7"/>
    </row>
    <row r="15" spans="1:38" x14ac:dyDescent="0.3">
      <c r="A15" s="4">
        <v>11</v>
      </c>
      <c r="B15" s="4" t="s">
        <v>25</v>
      </c>
      <c r="C15" s="4">
        <f t="shared" si="0"/>
        <v>0</v>
      </c>
      <c r="D15" s="5">
        <f t="shared" si="1"/>
        <v>5</v>
      </c>
      <c r="E15" s="4"/>
      <c r="F15" s="4"/>
      <c r="G15" s="4"/>
      <c r="H15" s="5" t="str">
        <f t="shared" si="2"/>
        <v/>
      </c>
      <c r="I15" s="6"/>
      <c r="J15" s="7"/>
      <c r="K15" s="8"/>
      <c r="L15" s="9"/>
      <c r="M15" s="6"/>
      <c r="N15" s="7"/>
      <c r="O15" s="8"/>
      <c r="P15" s="9"/>
      <c r="Q15" s="6"/>
      <c r="R15" s="7"/>
      <c r="S15" s="8"/>
      <c r="T15" s="9"/>
      <c r="U15" s="6"/>
      <c r="V15" s="7"/>
      <c r="W15" s="8"/>
      <c r="X15" s="9"/>
      <c r="Y15" s="6"/>
      <c r="Z15" s="7"/>
      <c r="AA15" s="8"/>
      <c r="AB15" s="9"/>
      <c r="AC15" s="6"/>
      <c r="AD15" s="7"/>
      <c r="AE15" s="8"/>
      <c r="AF15" s="9"/>
      <c r="AG15" s="6"/>
      <c r="AH15" s="7"/>
      <c r="AI15" s="8"/>
      <c r="AJ15" s="9"/>
      <c r="AK15" s="6"/>
      <c r="AL15" s="7"/>
    </row>
    <row r="16" spans="1:38" x14ac:dyDescent="0.3">
      <c r="A16" s="4">
        <v>12</v>
      </c>
      <c r="B16" s="4" t="s">
        <v>26</v>
      </c>
      <c r="C16" s="4">
        <f t="shared" si="0"/>
        <v>0</v>
      </c>
      <c r="D16" s="5">
        <f t="shared" si="1"/>
        <v>5</v>
      </c>
      <c r="E16" s="4"/>
      <c r="F16" s="4"/>
      <c r="G16" s="4"/>
      <c r="H16" s="5" t="str">
        <f t="shared" si="2"/>
        <v/>
      </c>
      <c r="I16" s="6"/>
      <c r="J16" s="7"/>
      <c r="K16" s="8"/>
      <c r="L16" s="9"/>
      <c r="M16" s="6"/>
      <c r="N16" s="7"/>
      <c r="O16" s="8"/>
      <c r="P16" s="9"/>
      <c r="Q16" s="6"/>
      <c r="R16" s="7"/>
      <c r="S16" s="8"/>
      <c r="T16" s="9"/>
      <c r="U16" s="6"/>
      <c r="V16" s="7"/>
      <c r="W16" s="8"/>
      <c r="X16" s="9"/>
      <c r="Y16" s="6"/>
      <c r="Z16" s="7"/>
      <c r="AA16" s="8"/>
      <c r="AB16" s="9"/>
      <c r="AC16" s="6"/>
      <c r="AD16" s="7"/>
      <c r="AE16" s="8"/>
      <c r="AF16" s="9"/>
      <c r="AG16" s="6"/>
      <c r="AH16" s="7"/>
      <c r="AI16" s="8"/>
      <c r="AJ16" s="9"/>
      <c r="AK16" s="6"/>
      <c r="AL16" s="7"/>
    </row>
    <row r="17" spans="1:38" x14ac:dyDescent="0.3">
      <c r="A17" s="4">
        <v>13</v>
      </c>
      <c r="B17" s="4" t="s">
        <v>27</v>
      </c>
      <c r="C17" s="4">
        <f t="shared" si="0"/>
        <v>0</v>
      </c>
      <c r="D17" s="5">
        <f t="shared" si="1"/>
        <v>5</v>
      </c>
      <c r="E17" s="4"/>
      <c r="F17" s="4"/>
      <c r="G17" s="4"/>
      <c r="H17" s="5" t="str">
        <f t="shared" si="2"/>
        <v/>
      </c>
      <c r="I17" s="6"/>
      <c r="J17" s="7"/>
      <c r="K17" s="8"/>
      <c r="L17" s="9"/>
      <c r="M17" s="6"/>
      <c r="N17" s="7"/>
      <c r="O17" s="8"/>
      <c r="P17" s="9"/>
      <c r="Q17" s="6"/>
      <c r="R17" s="7"/>
      <c r="S17" s="8"/>
      <c r="T17" s="9"/>
      <c r="U17" s="6"/>
      <c r="V17" s="7"/>
      <c r="W17" s="8"/>
      <c r="X17" s="9"/>
      <c r="Y17" s="6"/>
      <c r="Z17" s="7"/>
      <c r="AA17" s="8"/>
      <c r="AB17" s="9"/>
      <c r="AC17" s="6"/>
      <c r="AD17" s="7"/>
      <c r="AE17" s="8"/>
      <c r="AF17" s="9"/>
      <c r="AG17" s="6"/>
      <c r="AH17" s="7"/>
      <c r="AI17" s="8"/>
      <c r="AJ17" s="9"/>
      <c r="AK17" s="6"/>
      <c r="AL17" s="7"/>
    </row>
    <row r="18" spans="1:38" x14ac:dyDescent="0.3">
      <c r="A18" s="4">
        <v>14</v>
      </c>
      <c r="B18" s="4" t="s">
        <v>28</v>
      </c>
      <c r="C18" s="4">
        <f t="shared" si="0"/>
        <v>0</v>
      </c>
      <c r="D18" s="5">
        <f t="shared" si="1"/>
        <v>5</v>
      </c>
      <c r="E18" s="4"/>
      <c r="F18" s="4"/>
      <c r="G18" s="4"/>
      <c r="H18" s="5" t="str">
        <f t="shared" si="2"/>
        <v/>
      </c>
      <c r="I18" s="6"/>
      <c r="J18" s="7"/>
      <c r="K18" s="8"/>
      <c r="L18" s="9"/>
      <c r="M18" s="6"/>
      <c r="N18" s="7"/>
      <c r="O18" s="8"/>
      <c r="P18" s="9"/>
      <c r="Q18" s="6"/>
      <c r="R18" s="7"/>
      <c r="S18" s="8"/>
      <c r="T18" s="9"/>
      <c r="U18" s="6"/>
      <c r="V18" s="7"/>
      <c r="W18" s="8"/>
      <c r="X18" s="9"/>
      <c r="Y18" s="6"/>
      <c r="Z18" s="7"/>
      <c r="AA18" s="8"/>
      <c r="AB18" s="9"/>
      <c r="AC18" s="6"/>
      <c r="AD18" s="7"/>
      <c r="AE18" s="8"/>
      <c r="AF18" s="9"/>
      <c r="AG18" s="6"/>
      <c r="AH18" s="7"/>
      <c r="AI18" s="8"/>
      <c r="AJ18" s="9"/>
      <c r="AK18" s="6"/>
      <c r="AL18" s="7"/>
    </row>
    <row r="19" spans="1:38" x14ac:dyDescent="0.3">
      <c r="A19" s="4">
        <v>15</v>
      </c>
      <c r="B19" s="4" t="s">
        <v>29</v>
      </c>
      <c r="C19" s="4">
        <f t="shared" si="0"/>
        <v>0</v>
      </c>
      <c r="D19" s="5">
        <f t="shared" si="1"/>
        <v>5</v>
      </c>
      <c r="E19" s="4"/>
      <c r="F19" s="4"/>
      <c r="G19" s="4"/>
      <c r="H19" s="5" t="str">
        <f t="shared" si="2"/>
        <v/>
      </c>
      <c r="I19" s="6"/>
      <c r="J19" s="7"/>
      <c r="K19" s="8"/>
      <c r="L19" s="9"/>
      <c r="M19" s="6"/>
      <c r="N19" s="7"/>
      <c r="O19" s="8"/>
      <c r="P19" s="9"/>
      <c r="Q19" s="6"/>
      <c r="R19" s="7"/>
      <c r="S19" s="8"/>
      <c r="T19" s="9"/>
      <c r="U19" s="6"/>
      <c r="V19" s="7"/>
      <c r="W19" s="8"/>
      <c r="X19" s="9"/>
      <c r="Y19" s="6"/>
      <c r="Z19" s="7"/>
      <c r="AA19" s="8"/>
      <c r="AB19" s="9"/>
      <c r="AC19" s="6"/>
      <c r="AD19" s="7"/>
      <c r="AE19" s="8"/>
      <c r="AF19" s="9"/>
      <c r="AG19" s="6"/>
      <c r="AH19" s="7"/>
      <c r="AI19" s="8"/>
      <c r="AJ19" s="9"/>
      <c r="AK19" s="6"/>
      <c r="AL19" s="7"/>
    </row>
    <row r="20" spans="1:38" x14ac:dyDescent="0.3">
      <c r="A20" s="4">
        <v>16</v>
      </c>
      <c r="B20" s="4" t="s">
        <v>30</v>
      </c>
      <c r="C20" s="4">
        <f t="shared" si="0"/>
        <v>0</v>
      </c>
      <c r="D20" s="5">
        <f t="shared" si="1"/>
        <v>5</v>
      </c>
      <c r="E20" s="4"/>
      <c r="F20" s="4"/>
      <c r="G20" s="4"/>
      <c r="H20" s="5" t="str">
        <f t="shared" si="2"/>
        <v/>
      </c>
      <c r="I20" s="6"/>
      <c r="J20" s="7"/>
      <c r="K20" s="8"/>
      <c r="L20" s="9"/>
      <c r="M20" s="6"/>
      <c r="N20" s="7"/>
      <c r="O20" s="8"/>
      <c r="P20" s="9"/>
      <c r="Q20" s="6"/>
      <c r="R20" s="7"/>
      <c r="S20" s="8"/>
      <c r="T20" s="9"/>
      <c r="U20" s="6"/>
      <c r="V20" s="7"/>
      <c r="W20" s="8"/>
      <c r="X20" s="9"/>
      <c r="Y20" s="6"/>
      <c r="Z20" s="7"/>
      <c r="AA20" s="8"/>
      <c r="AB20" s="9"/>
      <c r="AC20" s="6"/>
      <c r="AD20" s="7"/>
      <c r="AE20" s="8"/>
      <c r="AF20" s="9"/>
      <c r="AG20" s="6"/>
      <c r="AH20" s="7"/>
      <c r="AI20" s="8"/>
      <c r="AJ20" s="9"/>
      <c r="AK20" s="6"/>
      <c r="AL20" s="7"/>
    </row>
    <row r="21" spans="1:38" x14ac:dyDescent="0.3">
      <c r="A21" s="4">
        <v>17</v>
      </c>
      <c r="B21" s="4" t="s">
        <v>31</v>
      </c>
      <c r="C21" s="4">
        <f t="shared" si="0"/>
        <v>0</v>
      </c>
      <c r="D21" s="5">
        <f t="shared" si="1"/>
        <v>5</v>
      </c>
      <c r="E21" s="4"/>
      <c r="F21" s="4"/>
      <c r="G21" s="4"/>
      <c r="H21" s="5" t="str">
        <f t="shared" si="2"/>
        <v/>
      </c>
      <c r="I21" s="6"/>
      <c r="J21" s="7"/>
      <c r="K21" s="8"/>
      <c r="L21" s="9"/>
      <c r="M21" s="6"/>
      <c r="N21" s="7"/>
      <c r="O21" s="8"/>
      <c r="P21" s="9"/>
      <c r="Q21" s="6"/>
      <c r="R21" s="7"/>
      <c r="S21" s="8"/>
      <c r="T21" s="9"/>
      <c r="U21" s="6"/>
      <c r="V21" s="7"/>
      <c r="W21" s="8"/>
      <c r="X21" s="9"/>
      <c r="Y21" s="6"/>
      <c r="Z21" s="7"/>
      <c r="AA21" s="8"/>
      <c r="AB21" s="9"/>
      <c r="AC21" s="6"/>
      <c r="AD21" s="7"/>
      <c r="AE21" s="8"/>
      <c r="AF21" s="9"/>
      <c r="AG21" s="6"/>
      <c r="AH21" s="7"/>
      <c r="AI21" s="8"/>
      <c r="AJ21" s="9"/>
      <c r="AK21" s="6"/>
      <c r="AL21" s="7"/>
    </row>
  </sheetData>
  <mergeCells count="1">
    <mergeCell ref="A1:H1"/>
  </mergeCells>
  <conditionalFormatting sqref="D5:D21">
    <cfRule type="cellIs" dxfId="8" priority="1" operator="lessThan">
      <formula>0</formula>
    </cfRule>
    <cfRule type="cellIs" dxfId="7" priority="2" operator="between">
      <formula>1</formula>
      <formula>3</formula>
    </cfRule>
    <cfRule type="cellIs" dxfId="6" priority="3" operator="greaterThan">
      <formula>3</formula>
    </cfRule>
  </conditionalFormatting>
  <dataValidations count="2">
    <dataValidation type="list" allowBlank="1" prompt="Επιλέξτε αριθμό απουσιών (1-2)" sqref="J5 J6 J7 J8 J9 J10 J11 J12 J13 J14 J15 J16 J17 J18 J19 J20 J21 L5 L6 L7 L8 L9 L10 L11 L12 L13 L14 L15 L16 L17 L18 L19 L20 L21 N5 N6 N7 N8 N9 N10 N11 N12 N13 N14 N15 N16 N17 N18 N19 N20 N21 P5 P6 P7 P8 P9 P10 P11 P12 P13 P14 P15 P16 P17 P18 P19 P20 P21 R5 R6 R7 R8 R9 R10 R11 R12 R13 R14 R15 R16 R17 R18 R19 R20 R21 T5 T6 T7 T8 T9 T10 T11 T12 T13 T14 T15 T16 T17 T18 T19 T20 T21 V5 V6 V7 V8 V9 V10 V11 V12 V13 V14 V15 V16 V17 V18 V19 V20 V21 X5 X6 X7 X8 X9 X10 X11 X12 X13 X14 X15 X16 X17 X18 X19 X20 X21 Z5 Z6 Z7 Z8 Z9 Z10 Z11 Z12 Z13 Z14 Z15 Z16 Z17 Z18 Z19 Z20 Z21 AB5 AB6 AB7 AB8 AB9 AB10 AB11 AB12 AB13 AB14 AB15 AB16 AB17 AB18 AB19 AB20 AB21 AD5 AD6 AD7 AD8 AD9 AD10 AD11 AD12 AD13 AD14 AD15 AD16 AD17 AD18 AD19 AD20 AD21 AF5 AF6 AF7 AF8 AF9 AF10 AF11 AF12 AF13 AF14 AF15 AF16 AF17 AF18 AF19 AF20 AF21 AH5 AH6 AH7 AH8 AH9 AH10 AH11 AH12 AH13 AH14 AH15 AH16 AH17 AH18 AH19 AH20 AH21 AJ5 AJ6 AJ7 AJ8 AJ9 AJ10 AJ11 AJ12 AJ13 AJ14 AJ15 AJ16 AJ17 AJ18 AJ19 AJ20 AJ21 AL5 AL6 AL7 AL8 AL9 AL10 AL11 AL12 AL13 AL14 AL15 AL16 AL17 AL18 AL19 AL20 AL21" xr:uid="{00000000-0002-0000-0200-000000000000}">
      <formula1>"1,2"</formula1>
    </dataValidation>
    <dataValidation type="date" operator="greaterThan" allowBlank="1" prompt="Κλικ για popup ημερολόγιο" sqref="I5 I6 I7 I8 I9 I10 I11 I12 I13 I14 I15 I16 I17 I18 I19 I20 I21 K5 K6 K7 K8 K9 K10 K11 K12 K13 K14 K15 K16 K17 K18 K19 K20 K21 M5 M6 M7 M8 M9 M10 M11 M12 M13 M14 M15 M16 M17 M18 M19 M20 M21 O5 O6 O7 O8 O9 O10 O11 O12 O13 O14 O15 O16 O17 O18 O19 O20 O21 Q5 Q6 Q7 Q8 Q9 Q10 Q11 Q12 Q13 Q14 Q15 Q16 Q17 Q18 Q19 Q20 Q21 S5 S6 S7 S8 S9 S10 S11 S12 S13 S14 S15 S16 S17 S18 S19 S20 S21 U5 U6 U7 U8 U9 U10 U11 U12 U13 U14 U15 U16 U17 U18 U19 U20 U21 W5 W6 W7 W8 W9 W10 W11 W12 W13 W14 W15 W16 W17 W18 W19 W20 W21 Y5 Y6 Y7 Y8 Y9 Y10 Y11 Y12 Y13 Y14 Y15 Y16 Y17 Y18 Y19 Y20 Y21 AA5 AA6 AA7 AA8 AA9 AA10 AA11 AA12 AA13 AA14 AA15 AA16 AA17 AA18 AA19 AA20 AA21 AC5 AC6 AC7 AC8 AC9 AC10 AC11 AC12 AC13 AC14 AC15 AC16 AC17 AC18 AC19 AC20 AC21 AE5 AE6 AE7 AE8 AE9 AE10 AE11 AE12 AE13 AE14 AE15 AE16 AE17 AE18 AE19 AE20 AE21 AG5 AG6 AG7 AG8 AG9 AG10 AG11 AG12 AG13 AG14 AG15 AG16 AG17 AG18 AG19 AG20 AG21 AI5 AI6 AI7 AI8 AI9 AI10 AI11 AI12 AI13 AI14 AI15 AI16 AI17 AI18 AI19 AI20 AI21 AK5 AK6 AK7 AK8 AK9 AK10 AK11 AK12 AK13 AK14 AK15 AK16 AK17 AK18 AK19 AK20 AK21" xr:uid="{00000000-0002-0000-0200-000001000000}">
      <formula1>DATE(2024,1,1)</formula1>
    </dataValidation>
  </dataValidation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L21"/>
  <sheetViews>
    <sheetView workbookViewId="0"/>
  </sheetViews>
  <sheetFormatPr defaultRowHeight="14.4" x14ac:dyDescent="0.3"/>
  <cols>
    <col min="1" max="1" width="5" customWidth="1"/>
    <col min="2" max="2" width="25" customWidth="1"/>
    <col min="3" max="3" width="10" customWidth="1"/>
    <col min="4" max="4" width="12" customWidth="1"/>
    <col min="5" max="7" width="10" customWidth="1"/>
    <col min="8" max="8" width="8" customWidth="1"/>
    <col min="9" max="9" width="11" customWidth="1"/>
    <col min="10" max="10" width="6" customWidth="1"/>
    <col min="11" max="11" width="11" customWidth="1"/>
    <col min="12" max="12" width="6" customWidth="1"/>
    <col min="13" max="13" width="11" customWidth="1"/>
    <col min="14" max="14" width="6" customWidth="1"/>
    <col min="15" max="15" width="11" customWidth="1"/>
    <col min="16" max="16" width="6" customWidth="1"/>
    <col min="17" max="17" width="11" customWidth="1"/>
    <col min="18" max="18" width="6" customWidth="1"/>
    <col min="19" max="19" width="11" customWidth="1"/>
    <col min="20" max="20" width="6" customWidth="1"/>
    <col min="21" max="21" width="11" customWidth="1"/>
    <col min="22" max="22" width="6" customWidth="1"/>
    <col min="23" max="23" width="11" customWidth="1"/>
    <col min="24" max="24" width="6" customWidth="1"/>
    <col min="25" max="25" width="11" customWidth="1"/>
    <col min="26" max="26" width="6" customWidth="1"/>
    <col min="27" max="27" width="11" customWidth="1"/>
    <col min="28" max="28" width="6" customWidth="1"/>
    <col min="29" max="29" width="11" customWidth="1"/>
    <col min="30" max="30" width="6" customWidth="1"/>
    <col min="31" max="31" width="11" customWidth="1"/>
    <col min="32" max="32" width="6" customWidth="1"/>
    <col min="33" max="33" width="11" customWidth="1"/>
    <col min="34" max="34" width="6" customWidth="1"/>
    <col min="35" max="35" width="11" customWidth="1"/>
    <col min="36" max="36" width="6" customWidth="1"/>
    <col min="37" max="37" width="11" customWidth="1"/>
    <col min="38" max="38" width="6" customWidth="1"/>
  </cols>
  <sheetData>
    <row r="1" spans="1:38" x14ac:dyDescent="0.3">
      <c r="A1" s="12" t="s">
        <v>79</v>
      </c>
      <c r="B1" s="11"/>
      <c r="C1" s="11"/>
      <c r="D1" s="11"/>
      <c r="E1" s="11"/>
      <c r="F1" s="11"/>
      <c r="G1" s="11"/>
      <c r="H1" s="11"/>
    </row>
    <row r="2" spans="1:38" x14ac:dyDescent="0.3">
      <c r="A2" s="3" t="s">
        <v>75</v>
      </c>
      <c r="B2" s="3" t="s">
        <v>76</v>
      </c>
      <c r="C2" s="3" t="s">
        <v>35</v>
      </c>
      <c r="D2" s="3" t="s">
        <v>77</v>
      </c>
      <c r="E2" s="3" t="s">
        <v>78</v>
      </c>
    </row>
    <row r="4" spans="1:38" ht="28.8" x14ac:dyDescent="0.3">
      <c r="A4" s="1" t="s">
        <v>1</v>
      </c>
      <c r="B4" s="1" t="s">
        <v>2</v>
      </c>
      <c r="C4" s="1" t="s">
        <v>38</v>
      </c>
      <c r="D4" s="1" t="s">
        <v>39</v>
      </c>
      <c r="E4" s="1" t="s">
        <v>40</v>
      </c>
      <c r="F4" s="1" t="s">
        <v>41</v>
      </c>
      <c r="G4" s="1" t="s">
        <v>42</v>
      </c>
      <c r="H4" s="1" t="s">
        <v>43</v>
      </c>
      <c r="I4" s="1" t="s">
        <v>44</v>
      </c>
      <c r="J4" s="1" t="s">
        <v>45</v>
      </c>
      <c r="K4" s="1" t="s">
        <v>46</v>
      </c>
      <c r="L4" s="1" t="s">
        <v>47</v>
      </c>
      <c r="M4" s="1" t="s">
        <v>48</v>
      </c>
      <c r="N4" s="1" t="s">
        <v>49</v>
      </c>
      <c r="O4" s="1" t="s">
        <v>50</v>
      </c>
      <c r="P4" s="1" t="s">
        <v>51</v>
      </c>
      <c r="Q4" s="1" t="s">
        <v>52</v>
      </c>
      <c r="R4" s="1" t="s">
        <v>53</v>
      </c>
      <c r="S4" s="1" t="s">
        <v>54</v>
      </c>
      <c r="T4" s="1" t="s">
        <v>55</v>
      </c>
      <c r="U4" s="1" t="s">
        <v>56</v>
      </c>
      <c r="V4" s="1" t="s">
        <v>57</v>
      </c>
      <c r="W4" s="1" t="s">
        <v>58</v>
      </c>
      <c r="X4" s="1" t="s">
        <v>59</v>
      </c>
      <c r="Y4" s="1" t="s">
        <v>60</v>
      </c>
      <c r="Z4" s="1" t="s">
        <v>61</v>
      </c>
      <c r="AA4" s="1" t="s">
        <v>62</v>
      </c>
      <c r="AB4" s="1" t="s">
        <v>63</v>
      </c>
      <c r="AC4" s="1" t="s">
        <v>64</v>
      </c>
      <c r="AD4" s="1" t="s">
        <v>65</v>
      </c>
      <c r="AE4" s="1" t="s">
        <v>66</v>
      </c>
      <c r="AF4" s="1" t="s">
        <v>67</v>
      </c>
      <c r="AG4" s="1" t="s">
        <v>68</v>
      </c>
      <c r="AH4" s="1" t="s">
        <v>69</v>
      </c>
      <c r="AI4" s="1" t="s">
        <v>70</v>
      </c>
      <c r="AJ4" s="1" t="s">
        <v>71</v>
      </c>
      <c r="AK4" s="1" t="s">
        <v>72</v>
      </c>
      <c r="AL4" s="1" t="s">
        <v>73</v>
      </c>
    </row>
    <row r="5" spans="1:38" x14ac:dyDescent="0.3">
      <c r="A5" s="4">
        <v>1</v>
      </c>
      <c r="B5" s="4" t="s">
        <v>15</v>
      </c>
      <c r="C5" s="4">
        <f t="shared" ref="C5:C21" si="0">SUM(J5:AL5)</f>
        <v>0</v>
      </c>
      <c r="D5" s="5">
        <f t="shared" ref="D5:D21" si="1">5-C5</f>
        <v>5</v>
      </c>
      <c r="E5" s="4"/>
      <c r="F5" s="4"/>
      <c r="G5" s="4"/>
      <c r="H5" s="5" t="str">
        <f t="shared" ref="H5:H21" si="2">IF(AND(E5&lt;&gt;"",F5&lt;&gt;"",G5&lt;&gt;""),ROUND(E5*0.3+F5*0.1+G5*0.6,0),"")</f>
        <v/>
      </c>
      <c r="I5" s="6"/>
      <c r="J5" s="7"/>
      <c r="K5" s="8"/>
      <c r="L5" s="9"/>
      <c r="M5" s="6"/>
      <c r="N5" s="7"/>
      <c r="O5" s="8"/>
      <c r="P5" s="9"/>
      <c r="Q5" s="6"/>
      <c r="R5" s="7"/>
      <c r="S5" s="8"/>
      <c r="T5" s="9"/>
      <c r="U5" s="6"/>
      <c r="V5" s="7"/>
      <c r="W5" s="8"/>
      <c r="X5" s="9"/>
      <c r="Y5" s="6"/>
      <c r="Z5" s="7"/>
      <c r="AA5" s="8"/>
      <c r="AB5" s="9"/>
      <c r="AC5" s="6"/>
      <c r="AD5" s="7"/>
      <c r="AE5" s="8"/>
      <c r="AF5" s="9"/>
      <c r="AG5" s="6"/>
      <c r="AH5" s="7"/>
      <c r="AI5" s="8"/>
      <c r="AJ5" s="9"/>
      <c r="AK5" s="6"/>
      <c r="AL5" s="7"/>
    </row>
    <row r="6" spans="1:38" x14ac:dyDescent="0.3">
      <c r="A6" s="4">
        <v>2</v>
      </c>
      <c r="B6" s="4" t="s">
        <v>16</v>
      </c>
      <c r="C6" s="4">
        <f t="shared" si="0"/>
        <v>0</v>
      </c>
      <c r="D6" s="5">
        <f t="shared" si="1"/>
        <v>5</v>
      </c>
      <c r="E6" s="4"/>
      <c r="F6" s="4"/>
      <c r="G6" s="4"/>
      <c r="H6" s="5" t="str">
        <f t="shared" si="2"/>
        <v/>
      </c>
      <c r="I6" s="6"/>
      <c r="J6" s="7"/>
      <c r="K6" s="8"/>
      <c r="L6" s="9"/>
      <c r="M6" s="6"/>
      <c r="N6" s="7"/>
      <c r="O6" s="8"/>
      <c r="P6" s="9"/>
      <c r="Q6" s="6"/>
      <c r="R6" s="7"/>
      <c r="S6" s="8"/>
      <c r="T6" s="9"/>
      <c r="U6" s="6"/>
      <c r="V6" s="7"/>
      <c r="W6" s="8"/>
      <c r="X6" s="9"/>
      <c r="Y6" s="6"/>
      <c r="Z6" s="7"/>
      <c r="AA6" s="8"/>
      <c r="AB6" s="9"/>
      <c r="AC6" s="6"/>
      <c r="AD6" s="7"/>
      <c r="AE6" s="8"/>
      <c r="AF6" s="9"/>
      <c r="AG6" s="6"/>
      <c r="AH6" s="7"/>
      <c r="AI6" s="8"/>
      <c r="AJ6" s="9"/>
      <c r="AK6" s="6"/>
      <c r="AL6" s="7"/>
    </row>
    <row r="7" spans="1:38" x14ac:dyDescent="0.3">
      <c r="A7" s="4">
        <v>3</v>
      </c>
      <c r="B7" s="4" t="s">
        <v>17</v>
      </c>
      <c r="C7" s="4">
        <f t="shared" si="0"/>
        <v>0</v>
      </c>
      <c r="D7" s="5">
        <f t="shared" si="1"/>
        <v>5</v>
      </c>
      <c r="E7" s="4"/>
      <c r="F7" s="4"/>
      <c r="G7" s="4"/>
      <c r="H7" s="5" t="str">
        <f t="shared" si="2"/>
        <v/>
      </c>
      <c r="I7" s="6"/>
      <c r="J7" s="7"/>
      <c r="K7" s="8"/>
      <c r="L7" s="9"/>
      <c r="M7" s="6"/>
      <c r="N7" s="7"/>
      <c r="O7" s="8"/>
      <c r="P7" s="9"/>
      <c r="Q7" s="6"/>
      <c r="R7" s="7"/>
      <c r="S7" s="8"/>
      <c r="T7" s="9"/>
      <c r="U7" s="6"/>
      <c r="V7" s="7"/>
      <c r="W7" s="8"/>
      <c r="X7" s="9"/>
      <c r="Y7" s="6"/>
      <c r="Z7" s="7"/>
      <c r="AA7" s="8"/>
      <c r="AB7" s="9"/>
      <c r="AC7" s="6"/>
      <c r="AD7" s="7"/>
      <c r="AE7" s="8"/>
      <c r="AF7" s="9"/>
      <c r="AG7" s="6"/>
      <c r="AH7" s="7"/>
      <c r="AI7" s="8"/>
      <c r="AJ7" s="9"/>
      <c r="AK7" s="6"/>
      <c r="AL7" s="7"/>
    </row>
    <row r="8" spans="1:38" x14ac:dyDescent="0.3">
      <c r="A8" s="4">
        <v>4</v>
      </c>
      <c r="B8" s="4" t="s">
        <v>18</v>
      </c>
      <c r="C8" s="4">
        <f t="shared" si="0"/>
        <v>0</v>
      </c>
      <c r="D8" s="5">
        <f t="shared" si="1"/>
        <v>5</v>
      </c>
      <c r="E8" s="4"/>
      <c r="F8" s="4"/>
      <c r="G8" s="4"/>
      <c r="H8" s="5" t="str">
        <f t="shared" si="2"/>
        <v/>
      </c>
      <c r="I8" s="6"/>
      <c r="J8" s="7"/>
      <c r="K8" s="8"/>
      <c r="L8" s="9"/>
      <c r="M8" s="6"/>
      <c r="N8" s="7"/>
      <c r="O8" s="8"/>
      <c r="P8" s="9"/>
      <c r="Q8" s="6"/>
      <c r="R8" s="7"/>
      <c r="S8" s="8"/>
      <c r="T8" s="9"/>
      <c r="U8" s="6"/>
      <c r="V8" s="7"/>
      <c r="W8" s="8"/>
      <c r="X8" s="9"/>
      <c r="Y8" s="6"/>
      <c r="Z8" s="7"/>
      <c r="AA8" s="8"/>
      <c r="AB8" s="9"/>
      <c r="AC8" s="6"/>
      <c r="AD8" s="7"/>
      <c r="AE8" s="8"/>
      <c r="AF8" s="9"/>
      <c r="AG8" s="6"/>
      <c r="AH8" s="7"/>
      <c r="AI8" s="8"/>
      <c r="AJ8" s="9"/>
      <c r="AK8" s="6"/>
      <c r="AL8" s="7"/>
    </row>
    <row r="9" spans="1:38" x14ac:dyDescent="0.3">
      <c r="A9" s="4">
        <v>5</v>
      </c>
      <c r="B9" s="4" t="s">
        <v>19</v>
      </c>
      <c r="C9" s="4">
        <f t="shared" si="0"/>
        <v>0</v>
      </c>
      <c r="D9" s="5">
        <f t="shared" si="1"/>
        <v>5</v>
      </c>
      <c r="E9" s="4"/>
      <c r="F9" s="4"/>
      <c r="G9" s="4"/>
      <c r="H9" s="5" t="str">
        <f t="shared" si="2"/>
        <v/>
      </c>
      <c r="I9" s="6"/>
      <c r="J9" s="7"/>
      <c r="K9" s="8"/>
      <c r="L9" s="9"/>
      <c r="M9" s="6"/>
      <c r="N9" s="7"/>
      <c r="O9" s="8"/>
      <c r="P9" s="9"/>
      <c r="Q9" s="6"/>
      <c r="R9" s="7"/>
      <c r="S9" s="8"/>
      <c r="T9" s="9"/>
      <c r="U9" s="6"/>
      <c r="V9" s="7"/>
      <c r="W9" s="8"/>
      <c r="X9" s="9"/>
      <c r="Y9" s="6"/>
      <c r="Z9" s="7"/>
      <c r="AA9" s="8"/>
      <c r="AB9" s="9"/>
      <c r="AC9" s="6"/>
      <c r="AD9" s="7"/>
      <c r="AE9" s="8"/>
      <c r="AF9" s="9"/>
      <c r="AG9" s="6"/>
      <c r="AH9" s="7"/>
      <c r="AI9" s="8"/>
      <c r="AJ9" s="9"/>
      <c r="AK9" s="6"/>
      <c r="AL9" s="7"/>
    </row>
    <row r="10" spans="1:38" x14ac:dyDescent="0.3">
      <c r="A10" s="4">
        <v>6</v>
      </c>
      <c r="B10" s="4" t="s">
        <v>20</v>
      </c>
      <c r="C10" s="4">
        <f t="shared" si="0"/>
        <v>0</v>
      </c>
      <c r="D10" s="5">
        <f t="shared" si="1"/>
        <v>5</v>
      </c>
      <c r="E10" s="4"/>
      <c r="F10" s="4"/>
      <c r="G10" s="4"/>
      <c r="H10" s="5" t="str">
        <f t="shared" si="2"/>
        <v/>
      </c>
      <c r="I10" s="6"/>
      <c r="J10" s="7"/>
      <c r="K10" s="8"/>
      <c r="L10" s="9"/>
      <c r="M10" s="6"/>
      <c r="N10" s="7"/>
      <c r="O10" s="8"/>
      <c r="P10" s="9"/>
      <c r="Q10" s="6"/>
      <c r="R10" s="7"/>
      <c r="S10" s="8"/>
      <c r="T10" s="9"/>
      <c r="U10" s="6"/>
      <c r="V10" s="7"/>
      <c r="W10" s="8"/>
      <c r="X10" s="9"/>
      <c r="Y10" s="6"/>
      <c r="Z10" s="7"/>
      <c r="AA10" s="8"/>
      <c r="AB10" s="9"/>
      <c r="AC10" s="6"/>
      <c r="AD10" s="7"/>
      <c r="AE10" s="8"/>
      <c r="AF10" s="9"/>
      <c r="AG10" s="6"/>
      <c r="AH10" s="7"/>
      <c r="AI10" s="8"/>
      <c r="AJ10" s="9"/>
      <c r="AK10" s="6"/>
      <c r="AL10" s="7"/>
    </row>
    <row r="11" spans="1:38" x14ac:dyDescent="0.3">
      <c r="A11" s="4">
        <v>7</v>
      </c>
      <c r="B11" s="4" t="s">
        <v>21</v>
      </c>
      <c r="C11" s="4">
        <f t="shared" si="0"/>
        <v>0</v>
      </c>
      <c r="D11" s="5">
        <f t="shared" si="1"/>
        <v>5</v>
      </c>
      <c r="E11" s="4"/>
      <c r="F11" s="4"/>
      <c r="G11" s="4"/>
      <c r="H11" s="5" t="str">
        <f t="shared" si="2"/>
        <v/>
      </c>
      <c r="I11" s="6"/>
      <c r="J11" s="7"/>
      <c r="K11" s="8"/>
      <c r="L11" s="9"/>
      <c r="M11" s="6"/>
      <c r="N11" s="7"/>
      <c r="O11" s="8"/>
      <c r="P11" s="9"/>
      <c r="Q11" s="6"/>
      <c r="R11" s="7"/>
      <c r="S11" s="8"/>
      <c r="T11" s="9"/>
      <c r="U11" s="6"/>
      <c r="V11" s="7"/>
      <c r="W11" s="8"/>
      <c r="X11" s="9"/>
      <c r="Y11" s="6"/>
      <c r="Z11" s="7"/>
      <c r="AA11" s="8"/>
      <c r="AB11" s="9"/>
      <c r="AC11" s="6"/>
      <c r="AD11" s="7"/>
      <c r="AE11" s="8"/>
      <c r="AF11" s="9"/>
      <c r="AG11" s="6"/>
      <c r="AH11" s="7"/>
      <c r="AI11" s="8"/>
      <c r="AJ11" s="9"/>
      <c r="AK11" s="6"/>
      <c r="AL11" s="7"/>
    </row>
    <row r="12" spans="1:38" x14ac:dyDescent="0.3">
      <c r="A12" s="4">
        <v>8</v>
      </c>
      <c r="B12" s="4" t="s">
        <v>22</v>
      </c>
      <c r="C12" s="4">
        <f t="shared" si="0"/>
        <v>0</v>
      </c>
      <c r="D12" s="5">
        <f t="shared" si="1"/>
        <v>5</v>
      </c>
      <c r="E12" s="4"/>
      <c r="F12" s="4"/>
      <c r="G12" s="4"/>
      <c r="H12" s="5" t="str">
        <f t="shared" si="2"/>
        <v/>
      </c>
      <c r="I12" s="6"/>
      <c r="J12" s="7"/>
      <c r="K12" s="8"/>
      <c r="L12" s="9"/>
      <c r="M12" s="6"/>
      <c r="N12" s="7"/>
      <c r="O12" s="8"/>
      <c r="P12" s="9"/>
      <c r="Q12" s="6"/>
      <c r="R12" s="7"/>
      <c r="S12" s="8"/>
      <c r="T12" s="9"/>
      <c r="U12" s="6"/>
      <c r="V12" s="7"/>
      <c r="W12" s="8"/>
      <c r="X12" s="9"/>
      <c r="Y12" s="6"/>
      <c r="Z12" s="7"/>
      <c r="AA12" s="8"/>
      <c r="AB12" s="9"/>
      <c r="AC12" s="6"/>
      <c r="AD12" s="7"/>
      <c r="AE12" s="8"/>
      <c r="AF12" s="9"/>
      <c r="AG12" s="6"/>
      <c r="AH12" s="7"/>
      <c r="AI12" s="8"/>
      <c r="AJ12" s="9"/>
      <c r="AK12" s="6"/>
      <c r="AL12" s="7"/>
    </row>
    <row r="13" spans="1:38" x14ac:dyDescent="0.3">
      <c r="A13" s="4">
        <v>9</v>
      </c>
      <c r="B13" s="4" t="s">
        <v>23</v>
      </c>
      <c r="C13" s="4">
        <f t="shared" si="0"/>
        <v>0</v>
      </c>
      <c r="D13" s="5">
        <f t="shared" si="1"/>
        <v>5</v>
      </c>
      <c r="E13" s="4"/>
      <c r="F13" s="4"/>
      <c r="G13" s="4"/>
      <c r="H13" s="5" t="str">
        <f t="shared" si="2"/>
        <v/>
      </c>
      <c r="I13" s="6"/>
      <c r="J13" s="7"/>
      <c r="K13" s="8"/>
      <c r="L13" s="9"/>
      <c r="M13" s="6"/>
      <c r="N13" s="7"/>
      <c r="O13" s="8"/>
      <c r="P13" s="9"/>
      <c r="Q13" s="6"/>
      <c r="R13" s="7"/>
      <c r="S13" s="8"/>
      <c r="T13" s="9"/>
      <c r="U13" s="6"/>
      <c r="V13" s="7"/>
      <c r="W13" s="8"/>
      <c r="X13" s="9"/>
      <c r="Y13" s="6"/>
      <c r="Z13" s="7"/>
      <c r="AA13" s="8"/>
      <c r="AB13" s="9"/>
      <c r="AC13" s="6"/>
      <c r="AD13" s="7"/>
      <c r="AE13" s="8"/>
      <c r="AF13" s="9"/>
      <c r="AG13" s="6"/>
      <c r="AH13" s="7"/>
      <c r="AI13" s="8"/>
      <c r="AJ13" s="9"/>
      <c r="AK13" s="6"/>
      <c r="AL13" s="7"/>
    </row>
    <row r="14" spans="1:38" x14ac:dyDescent="0.3">
      <c r="A14" s="4">
        <v>10</v>
      </c>
      <c r="B14" s="4" t="s">
        <v>24</v>
      </c>
      <c r="C14" s="4">
        <f t="shared" si="0"/>
        <v>0</v>
      </c>
      <c r="D14" s="5">
        <f t="shared" si="1"/>
        <v>5</v>
      </c>
      <c r="E14" s="4"/>
      <c r="F14" s="4"/>
      <c r="G14" s="4"/>
      <c r="H14" s="5" t="str">
        <f t="shared" si="2"/>
        <v/>
      </c>
      <c r="I14" s="6"/>
      <c r="J14" s="7"/>
      <c r="K14" s="8"/>
      <c r="L14" s="9"/>
      <c r="M14" s="6"/>
      <c r="N14" s="7"/>
      <c r="O14" s="8"/>
      <c r="P14" s="9"/>
      <c r="Q14" s="6"/>
      <c r="R14" s="7"/>
      <c r="S14" s="8"/>
      <c r="T14" s="9"/>
      <c r="U14" s="6"/>
      <c r="V14" s="7"/>
      <c r="W14" s="8"/>
      <c r="X14" s="9"/>
      <c r="Y14" s="6"/>
      <c r="Z14" s="7"/>
      <c r="AA14" s="8"/>
      <c r="AB14" s="9"/>
      <c r="AC14" s="6"/>
      <c r="AD14" s="7"/>
      <c r="AE14" s="8"/>
      <c r="AF14" s="9"/>
      <c r="AG14" s="6"/>
      <c r="AH14" s="7"/>
      <c r="AI14" s="8"/>
      <c r="AJ14" s="9"/>
      <c r="AK14" s="6"/>
      <c r="AL14" s="7"/>
    </row>
    <row r="15" spans="1:38" x14ac:dyDescent="0.3">
      <c r="A15" s="4">
        <v>11</v>
      </c>
      <c r="B15" s="4" t="s">
        <v>25</v>
      </c>
      <c r="C15" s="4">
        <f t="shared" si="0"/>
        <v>0</v>
      </c>
      <c r="D15" s="5">
        <f t="shared" si="1"/>
        <v>5</v>
      </c>
      <c r="E15" s="4"/>
      <c r="F15" s="4"/>
      <c r="G15" s="4"/>
      <c r="H15" s="5" t="str">
        <f t="shared" si="2"/>
        <v/>
      </c>
      <c r="I15" s="6"/>
      <c r="J15" s="7"/>
      <c r="K15" s="8"/>
      <c r="L15" s="9"/>
      <c r="M15" s="6"/>
      <c r="N15" s="7"/>
      <c r="O15" s="8"/>
      <c r="P15" s="9"/>
      <c r="Q15" s="6"/>
      <c r="R15" s="7"/>
      <c r="S15" s="8"/>
      <c r="T15" s="9"/>
      <c r="U15" s="6"/>
      <c r="V15" s="7"/>
      <c r="W15" s="8"/>
      <c r="X15" s="9"/>
      <c r="Y15" s="6"/>
      <c r="Z15" s="7"/>
      <c r="AA15" s="8"/>
      <c r="AB15" s="9"/>
      <c r="AC15" s="6"/>
      <c r="AD15" s="7"/>
      <c r="AE15" s="8"/>
      <c r="AF15" s="9"/>
      <c r="AG15" s="6"/>
      <c r="AH15" s="7"/>
      <c r="AI15" s="8"/>
      <c r="AJ15" s="9"/>
      <c r="AK15" s="6"/>
      <c r="AL15" s="7"/>
    </row>
    <row r="16" spans="1:38" x14ac:dyDescent="0.3">
      <c r="A16" s="4">
        <v>12</v>
      </c>
      <c r="B16" s="4" t="s">
        <v>26</v>
      </c>
      <c r="C16" s="4">
        <f t="shared" si="0"/>
        <v>0</v>
      </c>
      <c r="D16" s="5">
        <f t="shared" si="1"/>
        <v>5</v>
      </c>
      <c r="E16" s="4"/>
      <c r="F16" s="4"/>
      <c r="G16" s="4"/>
      <c r="H16" s="5" t="str">
        <f t="shared" si="2"/>
        <v/>
      </c>
      <c r="I16" s="6"/>
      <c r="J16" s="7"/>
      <c r="K16" s="8"/>
      <c r="L16" s="9"/>
      <c r="M16" s="6"/>
      <c r="N16" s="7"/>
      <c r="O16" s="8"/>
      <c r="P16" s="9"/>
      <c r="Q16" s="6"/>
      <c r="R16" s="7"/>
      <c r="S16" s="8"/>
      <c r="T16" s="9"/>
      <c r="U16" s="6"/>
      <c r="V16" s="7"/>
      <c r="W16" s="8"/>
      <c r="X16" s="9"/>
      <c r="Y16" s="6"/>
      <c r="Z16" s="7"/>
      <c r="AA16" s="8"/>
      <c r="AB16" s="9"/>
      <c r="AC16" s="6"/>
      <c r="AD16" s="7"/>
      <c r="AE16" s="8"/>
      <c r="AF16" s="9"/>
      <c r="AG16" s="6"/>
      <c r="AH16" s="7"/>
      <c r="AI16" s="8"/>
      <c r="AJ16" s="9"/>
      <c r="AK16" s="6"/>
      <c r="AL16" s="7"/>
    </row>
    <row r="17" spans="1:38" x14ac:dyDescent="0.3">
      <c r="A17" s="4">
        <v>13</v>
      </c>
      <c r="B17" s="4" t="s">
        <v>27</v>
      </c>
      <c r="C17" s="4">
        <f t="shared" si="0"/>
        <v>0</v>
      </c>
      <c r="D17" s="5">
        <f t="shared" si="1"/>
        <v>5</v>
      </c>
      <c r="E17" s="4"/>
      <c r="F17" s="4"/>
      <c r="G17" s="4"/>
      <c r="H17" s="5" t="str">
        <f t="shared" si="2"/>
        <v/>
      </c>
      <c r="I17" s="6"/>
      <c r="J17" s="7"/>
      <c r="K17" s="8"/>
      <c r="L17" s="9"/>
      <c r="M17" s="6"/>
      <c r="N17" s="7"/>
      <c r="O17" s="8"/>
      <c r="P17" s="9"/>
      <c r="Q17" s="6"/>
      <c r="R17" s="7"/>
      <c r="S17" s="8"/>
      <c r="T17" s="9"/>
      <c r="U17" s="6"/>
      <c r="V17" s="7"/>
      <c r="W17" s="8"/>
      <c r="X17" s="9"/>
      <c r="Y17" s="6"/>
      <c r="Z17" s="7"/>
      <c r="AA17" s="8"/>
      <c r="AB17" s="9"/>
      <c r="AC17" s="6"/>
      <c r="AD17" s="7"/>
      <c r="AE17" s="8"/>
      <c r="AF17" s="9"/>
      <c r="AG17" s="6"/>
      <c r="AH17" s="7"/>
      <c r="AI17" s="8"/>
      <c r="AJ17" s="9"/>
      <c r="AK17" s="6"/>
      <c r="AL17" s="7"/>
    </row>
    <row r="18" spans="1:38" x14ac:dyDescent="0.3">
      <c r="A18" s="4">
        <v>14</v>
      </c>
      <c r="B18" s="4" t="s">
        <v>28</v>
      </c>
      <c r="C18" s="4">
        <f t="shared" si="0"/>
        <v>0</v>
      </c>
      <c r="D18" s="5">
        <f t="shared" si="1"/>
        <v>5</v>
      </c>
      <c r="E18" s="4"/>
      <c r="F18" s="4"/>
      <c r="G18" s="4"/>
      <c r="H18" s="5" t="str">
        <f t="shared" si="2"/>
        <v/>
      </c>
      <c r="I18" s="6"/>
      <c r="J18" s="7"/>
      <c r="K18" s="8"/>
      <c r="L18" s="9"/>
      <c r="M18" s="6"/>
      <c r="N18" s="7"/>
      <c r="O18" s="8"/>
      <c r="P18" s="9"/>
      <c r="Q18" s="6"/>
      <c r="R18" s="7"/>
      <c r="S18" s="8"/>
      <c r="T18" s="9"/>
      <c r="U18" s="6"/>
      <c r="V18" s="7"/>
      <c r="W18" s="8"/>
      <c r="X18" s="9"/>
      <c r="Y18" s="6"/>
      <c r="Z18" s="7"/>
      <c r="AA18" s="8"/>
      <c r="AB18" s="9"/>
      <c r="AC18" s="6"/>
      <c r="AD18" s="7"/>
      <c r="AE18" s="8"/>
      <c r="AF18" s="9"/>
      <c r="AG18" s="6"/>
      <c r="AH18" s="7"/>
      <c r="AI18" s="8"/>
      <c r="AJ18" s="9"/>
      <c r="AK18" s="6"/>
      <c r="AL18" s="7"/>
    </row>
    <row r="19" spans="1:38" x14ac:dyDescent="0.3">
      <c r="A19" s="4">
        <v>15</v>
      </c>
      <c r="B19" s="4" t="s">
        <v>29</v>
      </c>
      <c r="C19" s="4">
        <f t="shared" si="0"/>
        <v>0</v>
      </c>
      <c r="D19" s="5">
        <f t="shared" si="1"/>
        <v>5</v>
      </c>
      <c r="E19" s="4"/>
      <c r="F19" s="4"/>
      <c r="G19" s="4"/>
      <c r="H19" s="5" t="str">
        <f t="shared" si="2"/>
        <v/>
      </c>
      <c r="I19" s="6"/>
      <c r="J19" s="7"/>
      <c r="K19" s="8"/>
      <c r="L19" s="9"/>
      <c r="M19" s="6"/>
      <c r="N19" s="7"/>
      <c r="O19" s="8"/>
      <c r="P19" s="9"/>
      <c r="Q19" s="6"/>
      <c r="R19" s="7"/>
      <c r="S19" s="8"/>
      <c r="T19" s="9"/>
      <c r="U19" s="6"/>
      <c r="V19" s="7"/>
      <c r="W19" s="8"/>
      <c r="X19" s="9"/>
      <c r="Y19" s="6"/>
      <c r="Z19" s="7"/>
      <c r="AA19" s="8"/>
      <c r="AB19" s="9"/>
      <c r="AC19" s="6"/>
      <c r="AD19" s="7"/>
      <c r="AE19" s="8"/>
      <c r="AF19" s="9"/>
      <c r="AG19" s="6"/>
      <c r="AH19" s="7"/>
      <c r="AI19" s="8"/>
      <c r="AJ19" s="9"/>
      <c r="AK19" s="6"/>
      <c r="AL19" s="7"/>
    </row>
    <row r="20" spans="1:38" x14ac:dyDescent="0.3">
      <c r="A20" s="4">
        <v>16</v>
      </c>
      <c r="B20" s="4" t="s">
        <v>30</v>
      </c>
      <c r="C20" s="4">
        <f t="shared" si="0"/>
        <v>0</v>
      </c>
      <c r="D20" s="5">
        <f t="shared" si="1"/>
        <v>5</v>
      </c>
      <c r="E20" s="4"/>
      <c r="F20" s="4"/>
      <c r="G20" s="4"/>
      <c r="H20" s="5" t="str">
        <f t="shared" si="2"/>
        <v/>
      </c>
      <c r="I20" s="6"/>
      <c r="J20" s="7"/>
      <c r="K20" s="8"/>
      <c r="L20" s="9"/>
      <c r="M20" s="6"/>
      <c r="N20" s="7"/>
      <c r="O20" s="8"/>
      <c r="P20" s="9"/>
      <c r="Q20" s="6"/>
      <c r="R20" s="7"/>
      <c r="S20" s="8"/>
      <c r="T20" s="9"/>
      <c r="U20" s="6"/>
      <c r="V20" s="7"/>
      <c r="W20" s="8"/>
      <c r="X20" s="9"/>
      <c r="Y20" s="6"/>
      <c r="Z20" s="7"/>
      <c r="AA20" s="8"/>
      <c r="AB20" s="9"/>
      <c r="AC20" s="6"/>
      <c r="AD20" s="7"/>
      <c r="AE20" s="8"/>
      <c r="AF20" s="9"/>
      <c r="AG20" s="6"/>
      <c r="AH20" s="7"/>
      <c r="AI20" s="8"/>
      <c r="AJ20" s="9"/>
      <c r="AK20" s="6"/>
      <c r="AL20" s="7"/>
    </row>
    <row r="21" spans="1:38" x14ac:dyDescent="0.3">
      <c r="A21" s="4">
        <v>17</v>
      </c>
      <c r="B21" s="4" t="s">
        <v>31</v>
      </c>
      <c r="C21" s="4">
        <f t="shared" si="0"/>
        <v>0</v>
      </c>
      <c r="D21" s="5">
        <f t="shared" si="1"/>
        <v>5</v>
      </c>
      <c r="E21" s="4"/>
      <c r="F21" s="4"/>
      <c r="G21" s="4"/>
      <c r="H21" s="5" t="str">
        <f t="shared" si="2"/>
        <v/>
      </c>
      <c r="I21" s="6"/>
      <c r="J21" s="7"/>
      <c r="K21" s="8"/>
      <c r="L21" s="9"/>
      <c r="M21" s="6"/>
      <c r="N21" s="7"/>
      <c r="O21" s="8"/>
      <c r="P21" s="9"/>
      <c r="Q21" s="6"/>
      <c r="R21" s="7"/>
      <c r="S21" s="8"/>
      <c r="T21" s="9"/>
      <c r="U21" s="6"/>
      <c r="V21" s="7"/>
      <c r="W21" s="8"/>
      <c r="X21" s="9"/>
      <c r="Y21" s="6"/>
      <c r="Z21" s="7"/>
      <c r="AA21" s="8"/>
      <c r="AB21" s="9"/>
      <c r="AC21" s="6"/>
      <c r="AD21" s="7"/>
      <c r="AE21" s="8"/>
      <c r="AF21" s="9"/>
      <c r="AG21" s="6"/>
      <c r="AH21" s="7"/>
      <c r="AI21" s="8"/>
      <c r="AJ21" s="9"/>
      <c r="AK21" s="6"/>
      <c r="AL21" s="7"/>
    </row>
  </sheetData>
  <mergeCells count="1">
    <mergeCell ref="A1:H1"/>
  </mergeCells>
  <conditionalFormatting sqref="D5:D21">
    <cfRule type="cellIs" dxfId="5" priority="1" operator="lessThan">
      <formula>0</formula>
    </cfRule>
    <cfRule type="cellIs" dxfId="4" priority="2" operator="between">
      <formula>1</formula>
      <formula>3</formula>
    </cfRule>
    <cfRule type="cellIs" dxfId="3" priority="3" operator="greaterThan">
      <formula>3</formula>
    </cfRule>
  </conditionalFormatting>
  <dataValidations count="2">
    <dataValidation type="list" allowBlank="1" prompt="Επιλέξτε αριθμό απουσιών (1-2)" sqref="J5 J6 J7 J8 J9 J10 J11 J12 J13 J14 J15 J16 J17 J18 J19 J20 J21 L5 L6 L7 L8 L9 L10 L11 L12 L13 L14 L15 L16 L17 L18 L19 L20 L21 N5 N6 N7 N8 N9 N10 N11 N12 N13 N14 N15 N16 N17 N18 N19 N20 N21 P5 P6 P7 P8 P9 P10 P11 P12 P13 P14 P15 P16 P17 P18 P19 P20 P21 R5 R6 R7 R8 R9 R10 R11 R12 R13 R14 R15 R16 R17 R18 R19 R20 R21 T5 T6 T7 T8 T9 T10 T11 T12 T13 T14 T15 T16 T17 T18 T19 T20 T21 V5 V6 V7 V8 V9 V10 V11 V12 V13 V14 V15 V16 V17 V18 V19 V20 V21 X5 X6 X7 X8 X9 X10 X11 X12 X13 X14 X15 X16 X17 X18 X19 X20 X21 Z5 Z6 Z7 Z8 Z9 Z10 Z11 Z12 Z13 Z14 Z15 Z16 Z17 Z18 Z19 Z20 Z21 AB5 AB6 AB7 AB8 AB9 AB10 AB11 AB12 AB13 AB14 AB15 AB16 AB17 AB18 AB19 AB20 AB21 AD5 AD6 AD7 AD8 AD9 AD10 AD11 AD12 AD13 AD14 AD15 AD16 AD17 AD18 AD19 AD20 AD21 AF5 AF6 AF7 AF8 AF9 AF10 AF11 AF12 AF13 AF14 AF15 AF16 AF17 AF18 AF19 AF20 AF21 AH5 AH6 AH7 AH8 AH9 AH10 AH11 AH12 AH13 AH14 AH15 AH16 AH17 AH18 AH19 AH20 AH21 AJ5 AJ6 AJ7 AJ8 AJ9 AJ10 AJ11 AJ12 AJ13 AJ14 AJ15 AJ16 AJ17 AJ18 AJ19 AJ20 AJ21 AL5 AL6 AL7 AL8 AL9 AL10 AL11 AL12 AL13 AL14 AL15 AL16 AL17 AL18 AL19 AL20 AL21" xr:uid="{00000000-0002-0000-0300-000000000000}">
      <formula1>"1,2"</formula1>
    </dataValidation>
    <dataValidation type="date" operator="greaterThan" allowBlank="1" prompt="Κλικ για popup ημερολόγιο" sqref="I5 I6 I7 I8 I9 I10 I11 I12 I13 I14 I15 I16 I17 I18 I19 I20 I21 K5 K6 K7 K8 K9 K10 K11 K12 K13 K14 K15 K16 K17 K18 K19 K20 K21 M5 M6 M7 M8 M9 M10 M11 M12 M13 M14 M15 M16 M17 M18 M19 M20 M21 O5 O6 O7 O8 O9 O10 O11 O12 O13 O14 O15 O16 O17 O18 O19 O20 O21 Q5 Q6 Q7 Q8 Q9 Q10 Q11 Q12 Q13 Q14 Q15 Q16 Q17 Q18 Q19 Q20 Q21 S5 S6 S7 S8 S9 S10 S11 S12 S13 S14 S15 S16 S17 S18 S19 S20 S21 U5 U6 U7 U8 U9 U10 U11 U12 U13 U14 U15 U16 U17 U18 U19 U20 U21 W5 W6 W7 W8 W9 W10 W11 W12 W13 W14 W15 W16 W17 W18 W19 W20 W21 Y5 Y6 Y7 Y8 Y9 Y10 Y11 Y12 Y13 Y14 Y15 Y16 Y17 Y18 Y19 Y20 Y21 AA5 AA6 AA7 AA8 AA9 AA10 AA11 AA12 AA13 AA14 AA15 AA16 AA17 AA18 AA19 AA20 AA21 AC5 AC6 AC7 AC8 AC9 AC10 AC11 AC12 AC13 AC14 AC15 AC16 AC17 AC18 AC19 AC20 AC21 AE5 AE6 AE7 AE8 AE9 AE10 AE11 AE12 AE13 AE14 AE15 AE16 AE17 AE18 AE19 AE20 AE21 AG5 AG6 AG7 AG8 AG9 AG10 AG11 AG12 AG13 AG14 AG15 AG16 AG17 AG18 AG19 AG20 AG21 AI5 AI6 AI7 AI8 AI9 AI10 AI11 AI12 AI13 AI14 AI15 AI16 AI17 AI18 AI19 AI20 AI21 AK5 AK6 AK7 AK8 AK9 AK10 AK11 AK12 AK13 AK14 AK15 AK16 AK17 AK18 AK19 AK20 AK21" xr:uid="{00000000-0002-0000-0300-000001000000}">
      <formula1>DATE(2024,1,1)</formula1>
    </dataValidation>
  </dataValidations>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L21"/>
  <sheetViews>
    <sheetView workbookViewId="0"/>
  </sheetViews>
  <sheetFormatPr defaultRowHeight="14.4" x14ac:dyDescent="0.3"/>
  <cols>
    <col min="1" max="1" width="5" customWidth="1"/>
    <col min="2" max="2" width="25" customWidth="1"/>
    <col min="3" max="3" width="10" customWidth="1"/>
    <col min="4" max="4" width="12" customWidth="1"/>
    <col min="5" max="7" width="10" customWidth="1"/>
    <col min="8" max="8" width="8" customWidth="1"/>
    <col min="9" max="9" width="11" customWidth="1"/>
    <col min="10" max="10" width="6" customWidth="1"/>
    <col min="11" max="11" width="11" customWidth="1"/>
    <col min="12" max="12" width="6" customWidth="1"/>
    <col min="13" max="13" width="11" customWidth="1"/>
    <col min="14" max="14" width="6" customWidth="1"/>
    <col min="15" max="15" width="11" customWidth="1"/>
    <col min="16" max="16" width="6" customWidth="1"/>
    <col min="17" max="17" width="11" customWidth="1"/>
    <col min="18" max="18" width="6" customWidth="1"/>
    <col min="19" max="19" width="11" customWidth="1"/>
    <col min="20" max="20" width="6" customWidth="1"/>
    <col min="21" max="21" width="11" customWidth="1"/>
    <col min="22" max="22" width="6" customWidth="1"/>
    <col min="23" max="23" width="11" customWidth="1"/>
    <col min="24" max="24" width="6" customWidth="1"/>
    <col min="25" max="25" width="11" customWidth="1"/>
    <col min="26" max="26" width="6" customWidth="1"/>
    <col min="27" max="27" width="11" customWidth="1"/>
    <col min="28" max="28" width="6" customWidth="1"/>
    <col min="29" max="29" width="11" customWidth="1"/>
    <col min="30" max="30" width="6" customWidth="1"/>
    <col min="31" max="31" width="11" customWidth="1"/>
    <col min="32" max="32" width="6" customWidth="1"/>
    <col min="33" max="33" width="11" customWidth="1"/>
    <col min="34" max="34" width="6" customWidth="1"/>
    <col min="35" max="35" width="11" customWidth="1"/>
    <col min="36" max="36" width="6" customWidth="1"/>
    <col min="37" max="37" width="11" customWidth="1"/>
    <col min="38" max="38" width="6" customWidth="1"/>
  </cols>
  <sheetData>
    <row r="1" spans="1:38" x14ac:dyDescent="0.3">
      <c r="A1" s="12" t="s">
        <v>80</v>
      </c>
      <c r="B1" s="11"/>
      <c r="C1" s="11"/>
      <c r="D1" s="11"/>
      <c r="E1" s="11"/>
      <c r="F1" s="11"/>
      <c r="G1" s="11"/>
      <c r="H1" s="11"/>
    </row>
    <row r="2" spans="1:38" x14ac:dyDescent="0.3">
      <c r="A2" s="3" t="s">
        <v>33</v>
      </c>
      <c r="B2" s="3" t="s">
        <v>34</v>
      </c>
      <c r="C2" s="3" t="s">
        <v>35</v>
      </c>
      <c r="D2" s="3" t="s">
        <v>36</v>
      </c>
      <c r="E2" s="3" t="s">
        <v>37</v>
      </c>
    </row>
    <row r="4" spans="1:38" ht="28.8" x14ac:dyDescent="0.3">
      <c r="A4" s="1" t="s">
        <v>1</v>
      </c>
      <c r="B4" s="1" t="s">
        <v>2</v>
      </c>
      <c r="C4" s="1" t="s">
        <v>38</v>
      </c>
      <c r="D4" s="1" t="s">
        <v>39</v>
      </c>
      <c r="E4" s="1" t="s">
        <v>40</v>
      </c>
      <c r="F4" s="1" t="s">
        <v>41</v>
      </c>
      <c r="G4" s="1" t="s">
        <v>42</v>
      </c>
      <c r="H4" s="1" t="s">
        <v>43</v>
      </c>
      <c r="I4" s="1" t="s">
        <v>44</v>
      </c>
      <c r="J4" s="1" t="s">
        <v>45</v>
      </c>
      <c r="K4" s="1" t="s">
        <v>46</v>
      </c>
      <c r="L4" s="1" t="s">
        <v>47</v>
      </c>
      <c r="M4" s="1" t="s">
        <v>48</v>
      </c>
      <c r="N4" s="1" t="s">
        <v>49</v>
      </c>
      <c r="O4" s="1" t="s">
        <v>50</v>
      </c>
      <c r="P4" s="1" t="s">
        <v>51</v>
      </c>
      <c r="Q4" s="1" t="s">
        <v>52</v>
      </c>
      <c r="R4" s="1" t="s">
        <v>53</v>
      </c>
      <c r="S4" s="1" t="s">
        <v>54</v>
      </c>
      <c r="T4" s="1" t="s">
        <v>55</v>
      </c>
      <c r="U4" s="1" t="s">
        <v>56</v>
      </c>
      <c r="V4" s="1" t="s">
        <v>57</v>
      </c>
      <c r="W4" s="1" t="s">
        <v>58</v>
      </c>
      <c r="X4" s="1" t="s">
        <v>59</v>
      </c>
      <c r="Y4" s="1" t="s">
        <v>60</v>
      </c>
      <c r="Z4" s="1" t="s">
        <v>61</v>
      </c>
      <c r="AA4" s="1" t="s">
        <v>62</v>
      </c>
      <c r="AB4" s="1" t="s">
        <v>63</v>
      </c>
      <c r="AC4" s="1" t="s">
        <v>64</v>
      </c>
      <c r="AD4" s="1" t="s">
        <v>65</v>
      </c>
      <c r="AE4" s="1" t="s">
        <v>66</v>
      </c>
      <c r="AF4" s="1" t="s">
        <v>67</v>
      </c>
      <c r="AG4" s="1" t="s">
        <v>68</v>
      </c>
      <c r="AH4" s="1" t="s">
        <v>69</v>
      </c>
      <c r="AI4" s="1" t="s">
        <v>70</v>
      </c>
      <c r="AJ4" s="1" t="s">
        <v>71</v>
      </c>
      <c r="AK4" s="1" t="s">
        <v>72</v>
      </c>
      <c r="AL4" s="1" t="s">
        <v>73</v>
      </c>
    </row>
    <row r="5" spans="1:38" x14ac:dyDescent="0.3">
      <c r="A5" s="4">
        <v>1</v>
      </c>
      <c r="B5" s="4" t="s">
        <v>15</v>
      </c>
      <c r="C5" s="4">
        <f t="shared" ref="C5:C21" si="0">SUM(J5:AL5)</f>
        <v>0</v>
      </c>
      <c r="D5" s="5">
        <f t="shared" ref="D5:D21" si="1">7-C5</f>
        <v>7</v>
      </c>
      <c r="E5" s="4"/>
      <c r="F5" s="4"/>
      <c r="G5" s="4"/>
      <c r="H5" s="5" t="str">
        <f t="shared" ref="H5:H21" si="2">IF(AND(E5&lt;&gt;"",F5&lt;&gt;"",G5&lt;&gt;""),ROUND(E5*0.3+F5*0.1+G5*0.6,0),"")</f>
        <v/>
      </c>
      <c r="I5" s="6"/>
      <c r="J5" s="7"/>
      <c r="K5" s="8"/>
      <c r="L5" s="9"/>
      <c r="M5" s="6"/>
      <c r="N5" s="7"/>
      <c r="O5" s="8"/>
      <c r="P5" s="9"/>
      <c r="Q5" s="6"/>
      <c r="R5" s="7"/>
      <c r="S5" s="8"/>
      <c r="T5" s="9"/>
      <c r="U5" s="6"/>
      <c r="V5" s="7"/>
      <c r="W5" s="8"/>
      <c r="X5" s="9"/>
      <c r="Y5" s="6"/>
      <c r="Z5" s="7"/>
      <c r="AA5" s="8"/>
      <c r="AB5" s="9"/>
      <c r="AC5" s="6"/>
      <c r="AD5" s="7"/>
      <c r="AE5" s="8"/>
      <c r="AF5" s="9"/>
      <c r="AG5" s="6"/>
      <c r="AH5" s="7"/>
      <c r="AI5" s="8"/>
      <c r="AJ5" s="9"/>
      <c r="AK5" s="6"/>
      <c r="AL5" s="7"/>
    </row>
    <row r="6" spans="1:38" x14ac:dyDescent="0.3">
      <c r="A6" s="4">
        <v>2</v>
      </c>
      <c r="B6" s="4" t="s">
        <v>16</v>
      </c>
      <c r="C6" s="4">
        <f t="shared" si="0"/>
        <v>0</v>
      </c>
      <c r="D6" s="5">
        <f t="shared" si="1"/>
        <v>7</v>
      </c>
      <c r="E6" s="4"/>
      <c r="F6" s="4"/>
      <c r="G6" s="4"/>
      <c r="H6" s="5" t="str">
        <f t="shared" si="2"/>
        <v/>
      </c>
      <c r="I6" s="6"/>
      <c r="J6" s="7"/>
      <c r="K6" s="8"/>
      <c r="L6" s="9"/>
      <c r="M6" s="6"/>
      <c r="N6" s="7"/>
      <c r="O6" s="8"/>
      <c r="P6" s="9"/>
      <c r="Q6" s="6"/>
      <c r="R6" s="7"/>
      <c r="S6" s="8"/>
      <c r="T6" s="9"/>
      <c r="U6" s="6"/>
      <c r="V6" s="7"/>
      <c r="W6" s="8"/>
      <c r="X6" s="9"/>
      <c r="Y6" s="6"/>
      <c r="Z6" s="7"/>
      <c r="AA6" s="8"/>
      <c r="AB6" s="9"/>
      <c r="AC6" s="6"/>
      <c r="AD6" s="7"/>
      <c r="AE6" s="8"/>
      <c r="AF6" s="9"/>
      <c r="AG6" s="6"/>
      <c r="AH6" s="7"/>
      <c r="AI6" s="8"/>
      <c r="AJ6" s="9"/>
      <c r="AK6" s="6"/>
      <c r="AL6" s="7"/>
    </row>
    <row r="7" spans="1:38" x14ac:dyDescent="0.3">
      <c r="A7" s="4">
        <v>3</v>
      </c>
      <c r="B7" s="4" t="s">
        <v>17</v>
      </c>
      <c r="C7" s="4">
        <f t="shared" si="0"/>
        <v>0</v>
      </c>
      <c r="D7" s="5">
        <f t="shared" si="1"/>
        <v>7</v>
      </c>
      <c r="E7" s="4"/>
      <c r="F7" s="4"/>
      <c r="G7" s="4"/>
      <c r="H7" s="5" t="str">
        <f t="shared" si="2"/>
        <v/>
      </c>
      <c r="I7" s="6"/>
      <c r="J7" s="7"/>
      <c r="K7" s="8"/>
      <c r="L7" s="9"/>
      <c r="M7" s="6"/>
      <c r="N7" s="7"/>
      <c r="O7" s="8"/>
      <c r="P7" s="9"/>
      <c r="Q7" s="6"/>
      <c r="R7" s="7"/>
      <c r="S7" s="8"/>
      <c r="T7" s="9"/>
      <c r="U7" s="6"/>
      <c r="V7" s="7"/>
      <c r="W7" s="8"/>
      <c r="X7" s="9"/>
      <c r="Y7" s="6"/>
      <c r="Z7" s="7"/>
      <c r="AA7" s="8"/>
      <c r="AB7" s="9"/>
      <c r="AC7" s="6"/>
      <c r="AD7" s="7"/>
      <c r="AE7" s="8"/>
      <c r="AF7" s="9"/>
      <c r="AG7" s="6"/>
      <c r="AH7" s="7"/>
      <c r="AI7" s="8"/>
      <c r="AJ7" s="9"/>
      <c r="AK7" s="6"/>
      <c r="AL7" s="7"/>
    </row>
    <row r="8" spans="1:38" x14ac:dyDescent="0.3">
      <c r="A8" s="4">
        <v>4</v>
      </c>
      <c r="B8" s="4" t="s">
        <v>18</v>
      </c>
      <c r="C8" s="4">
        <f t="shared" si="0"/>
        <v>0</v>
      </c>
      <c r="D8" s="5">
        <f t="shared" si="1"/>
        <v>7</v>
      </c>
      <c r="E8" s="4"/>
      <c r="F8" s="4"/>
      <c r="G8" s="4"/>
      <c r="H8" s="5" t="str">
        <f t="shared" si="2"/>
        <v/>
      </c>
      <c r="I8" s="6"/>
      <c r="J8" s="7"/>
      <c r="K8" s="8"/>
      <c r="L8" s="9"/>
      <c r="M8" s="6"/>
      <c r="N8" s="7"/>
      <c r="O8" s="8"/>
      <c r="P8" s="9"/>
      <c r="Q8" s="6"/>
      <c r="R8" s="7"/>
      <c r="S8" s="8"/>
      <c r="T8" s="9"/>
      <c r="U8" s="6"/>
      <c r="V8" s="7"/>
      <c r="W8" s="8"/>
      <c r="X8" s="9"/>
      <c r="Y8" s="6"/>
      <c r="Z8" s="7"/>
      <c r="AA8" s="8"/>
      <c r="AB8" s="9"/>
      <c r="AC8" s="6"/>
      <c r="AD8" s="7"/>
      <c r="AE8" s="8"/>
      <c r="AF8" s="9"/>
      <c r="AG8" s="6"/>
      <c r="AH8" s="7"/>
      <c r="AI8" s="8"/>
      <c r="AJ8" s="9"/>
      <c r="AK8" s="6"/>
      <c r="AL8" s="7"/>
    </row>
    <row r="9" spans="1:38" x14ac:dyDescent="0.3">
      <c r="A9" s="4">
        <v>5</v>
      </c>
      <c r="B9" s="4" t="s">
        <v>19</v>
      </c>
      <c r="C9" s="4">
        <f t="shared" si="0"/>
        <v>0</v>
      </c>
      <c r="D9" s="5">
        <f t="shared" si="1"/>
        <v>7</v>
      </c>
      <c r="E9" s="4"/>
      <c r="F9" s="4"/>
      <c r="G9" s="4"/>
      <c r="H9" s="5" t="str">
        <f t="shared" si="2"/>
        <v/>
      </c>
      <c r="I9" s="6"/>
      <c r="J9" s="7"/>
      <c r="K9" s="8"/>
      <c r="L9" s="9"/>
      <c r="M9" s="6"/>
      <c r="N9" s="7"/>
      <c r="O9" s="8"/>
      <c r="P9" s="9"/>
      <c r="Q9" s="6"/>
      <c r="R9" s="7"/>
      <c r="S9" s="8"/>
      <c r="T9" s="9"/>
      <c r="U9" s="6"/>
      <c r="V9" s="7"/>
      <c r="W9" s="8"/>
      <c r="X9" s="9"/>
      <c r="Y9" s="6"/>
      <c r="Z9" s="7"/>
      <c r="AA9" s="8"/>
      <c r="AB9" s="9"/>
      <c r="AC9" s="6"/>
      <c r="AD9" s="7"/>
      <c r="AE9" s="8"/>
      <c r="AF9" s="9"/>
      <c r="AG9" s="6"/>
      <c r="AH9" s="7"/>
      <c r="AI9" s="8"/>
      <c r="AJ9" s="9"/>
      <c r="AK9" s="6"/>
      <c r="AL9" s="7"/>
    </row>
    <row r="10" spans="1:38" x14ac:dyDescent="0.3">
      <c r="A10" s="4">
        <v>6</v>
      </c>
      <c r="B10" s="4" t="s">
        <v>20</v>
      </c>
      <c r="C10" s="4">
        <f t="shared" si="0"/>
        <v>0</v>
      </c>
      <c r="D10" s="5">
        <f t="shared" si="1"/>
        <v>7</v>
      </c>
      <c r="E10" s="4"/>
      <c r="F10" s="4"/>
      <c r="G10" s="4"/>
      <c r="H10" s="5" t="str">
        <f t="shared" si="2"/>
        <v/>
      </c>
      <c r="I10" s="6"/>
      <c r="J10" s="7"/>
      <c r="K10" s="8"/>
      <c r="L10" s="9"/>
      <c r="M10" s="6"/>
      <c r="N10" s="7"/>
      <c r="O10" s="8"/>
      <c r="P10" s="9"/>
      <c r="Q10" s="6"/>
      <c r="R10" s="7"/>
      <c r="S10" s="8"/>
      <c r="T10" s="9"/>
      <c r="U10" s="6"/>
      <c r="V10" s="7"/>
      <c r="W10" s="8"/>
      <c r="X10" s="9"/>
      <c r="Y10" s="6"/>
      <c r="Z10" s="7"/>
      <c r="AA10" s="8"/>
      <c r="AB10" s="9"/>
      <c r="AC10" s="6"/>
      <c r="AD10" s="7"/>
      <c r="AE10" s="8"/>
      <c r="AF10" s="9"/>
      <c r="AG10" s="6"/>
      <c r="AH10" s="7"/>
      <c r="AI10" s="8"/>
      <c r="AJ10" s="9"/>
      <c r="AK10" s="6"/>
      <c r="AL10" s="7"/>
    </row>
    <row r="11" spans="1:38" x14ac:dyDescent="0.3">
      <c r="A11" s="4">
        <v>7</v>
      </c>
      <c r="B11" s="4" t="s">
        <v>21</v>
      </c>
      <c r="C11" s="4">
        <f t="shared" si="0"/>
        <v>0</v>
      </c>
      <c r="D11" s="5">
        <f t="shared" si="1"/>
        <v>7</v>
      </c>
      <c r="E11" s="4"/>
      <c r="F11" s="4"/>
      <c r="G11" s="4"/>
      <c r="H11" s="5" t="str">
        <f t="shared" si="2"/>
        <v/>
      </c>
      <c r="I11" s="6"/>
      <c r="J11" s="7"/>
      <c r="K11" s="8"/>
      <c r="L11" s="9"/>
      <c r="M11" s="6"/>
      <c r="N11" s="7"/>
      <c r="O11" s="8"/>
      <c r="P11" s="9"/>
      <c r="Q11" s="6"/>
      <c r="R11" s="7"/>
      <c r="S11" s="8"/>
      <c r="T11" s="9"/>
      <c r="U11" s="6"/>
      <c r="V11" s="7"/>
      <c r="W11" s="8"/>
      <c r="X11" s="9"/>
      <c r="Y11" s="6"/>
      <c r="Z11" s="7"/>
      <c r="AA11" s="8"/>
      <c r="AB11" s="9"/>
      <c r="AC11" s="6"/>
      <c r="AD11" s="7"/>
      <c r="AE11" s="8"/>
      <c r="AF11" s="9"/>
      <c r="AG11" s="6"/>
      <c r="AH11" s="7"/>
      <c r="AI11" s="8"/>
      <c r="AJ11" s="9"/>
      <c r="AK11" s="6"/>
      <c r="AL11" s="7"/>
    </row>
    <row r="12" spans="1:38" x14ac:dyDescent="0.3">
      <c r="A12" s="4">
        <v>8</v>
      </c>
      <c r="B12" s="4" t="s">
        <v>22</v>
      </c>
      <c r="C12" s="4">
        <f t="shared" si="0"/>
        <v>0</v>
      </c>
      <c r="D12" s="5">
        <f t="shared" si="1"/>
        <v>7</v>
      </c>
      <c r="E12" s="4"/>
      <c r="F12" s="4"/>
      <c r="G12" s="4"/>
      <c r="H12" s="5" t="str">
        <f t="shared" si="2"/>
        <v/>
      </c>
      <c r="I12" s="6"/>
      <c r="J12" s="7"/>
      <c r="K12" s="8"/>
      <c r="L12" s="9"/>
      <c r="M12" s="6"/>
      <c r="N12" s="7"/>
      <c r="O12" s="8"/>
      <c r="P12" s="9"/>
      <c r="Q12" s="6"/>
      <c r="R12" s="7"/>
      <c r="S12" s="8"/>
      <c r="T12" s="9"/>
      <c r="U12" s="6"/>
      <c r="V12" s="7"/>
      <c r="W12" s="8"/>
      <c r="X12" s="9"/>
      <c r="Y12" s="6"/>
      <c r="Z12" s="7"/>
      <c r="AA12" s="8"/>
      <c r="AB12" s="9"/>
      <c r="AC12" s="6"/>
      <c r="AD12" s="7"/>
      <c r="AE12" s="8"/>
      <c r="AF12" s="9"/>
      <c r="AG12" s="6"/>
      <c r="AH12" s="7"/>
      <c r="AI12" s="8"/>
      <c r="AJ12" s="9"/>
      <c r="AK12" s="6"/>
      <c r="AL12" s="7"/>
    </row>
    <row r="13" spans="1:38" x14ac:dyDescent="0.3">
      <c r="A13" s="4">
        <v>9</v>
      </c>
      <c r="B13" s="4" t="s">
        <v>23</v>
      </c>
      <c r="C13" s="4">
        <f t="shared" si="0"/>
        <v>0</v>
      </c>
      <c r="D13" s="5">
        <f t="shared" si="1"/>
        <v>7</v>
      </c>
      <c r="E13" s="4"/>
      <c r="F13" s="4"/>
      <c r="G13" s="4"/>
      <c r="H13" s="5" t="str">
        <f t="shared" si="2"/>
        <v/>
      </c>
      <c r="I13" s="6"/>
      <c r="J13" s="7"/>
      <c r="K13" s="8"/>
      <c r="L13" s="9"/>
      <c r="M13" s="6"/>
      <c r="N13" s="7"/>
      <c r="O13" s="8"/>
      <c r="P13" s="9"/>
      <c r="Q13" s="6"/>
      <c r="R13" s="7"/>
      <c r="S13" s="8"/>
      <c r="T13" s="9"/>
      <c r="U13" s="6"/>
      <c r="V13" s="7"/>
      <c r="W13" s="8"/>
      <c r="X13" s="9"/>
      <c r="Y13" s="6"/>
      <c r="Z13" s="7"/>
      <c r="AA13" s="8"/>
      <c r="AB13" s="9"/>
      <c r="AC13" s="6"/>
      <c r="AD13" s="7"/>
      <c r="AE13" s="8"/>
      <c r="AF13" s="9"/>
      <c r="AG13" s="6"/>
      <c r="AH13" s="7"/>
      <c r="AI13" s="8"/>
      <c r="AJ13" s="9"/>
      <c r="AK13" s="6"/>
      <c r="AL13" s="7"/>
    </row>
    <row r="14" spans="1:38" x14ac:dyDescent="0.3">
      <c r="A14" s="4">
        <v>10</v>
      </c>
      <c r="B14" s="4" t="s">
        <v>24</v>
      </c>
      <c r="C14" s="4">
        <f t="shared" si="0"/>
        <v>0</v>
      </c>
      <c r="D14" s="5">
        <f t="shared" si="1"/>
        <v>7</v>
      </c>
      <c r="E14" s="4"/>
      <c r="F14" s="4"/>
      <c r="G14" s="4"/>
      <c r="H14" s="5" t="str">
        <f t="shared" si="2"/>
        <v/>
      </c>
      <c r="I14" s="6"/>
      <c r="J14" s="7"/>
      <c r="K14" s="8"/>
      <c r="L14" s="9"/>
      <c r="M14" s="6"/>
      <c r="N14" s="7"/>
      <c r="O14" s="8"/>
      <c r="P14" s="9"/>
      <c r="Q14" s="6"/>
      <c r="R14" s="7"/>
      <c r="S14" s="8"/>
      <c r="T14" s="9"/>
      <c r="U14" s="6"/>
      <c r="V14" s="7"/>
      <c r="W14" s="8"/>
      <c r="X14" s="9"/>
      <c r="Y14" s="6"/>
      <c r="Z14" s="7"/>
      <c r="AA14" s="8"/>
      <c r="AB14" s="9"/>
      <c r="AC14" s="6"/>
      <c r="AD14" s="7"/>
      <c r="AE14" s="8"/>
      <c r="AF14" s="9"/>
      <c r="AG14" s="6"/>
      <c r="AH14" s="7"/>
      <c r="AI14" s="8"/>
      <c r="AJ14" s="9"/>
      <c r="AK14" s="6"/>
      <c r="AL14" s="7"/>
    </row>
    <row r="15" spans="1:38" x14ac:dyDescent="0.3">
      <c r="A15" s="4">
        <v>11</v>
      </c>
      <c r="B15" s="4" t="s">
        <v>25</v>
      </c>
      <c r="C15" s="4">
        <f t="shared" si="0"/>
        <v>0</v>
      </c>
      <c r="D15" s="5">
        <f t="shared" si="1"/>
        <v>7</v>
      </c>
      <c r="E15" s="4"/>
      <c r="F15" s="4"/>
      <c r="G15" s="4"/>
      <c r="H15" s="5" t="str">
        <f t="shared" si="2"/>
        <v/>
      </c>
      <c r="I15" s="6"/>
      <c r="J15" s="7"/>
      <c r="K15" s="8"/>
      <c r="L15" s="9"/>
      <c r="M15" s="6"/>
      <c r="N15" s="7"/>
      <c r="O15" s="8"/>
      <c r="P15" s="9"/>
      <c r="Q15" s="6"/>
      <c r="R15" s="7"/>
      <c r="S15" s="8"/>
      <c r="T15" s="9"/>
      <c r="U15" s="6"/>
      <c r="V15" s="7"/>
      <c r="W15" s="8"/>
      <c r="X15" s="9"/>
      <c r="Y15" s="6"/>
      <c r="Z15" s="7"/>
      <c r="AA15" s="8"/>
      <c r="AB15" s="9"/>
      <c r="AC15" s="6"/>
      <c r="AD15" s="7"/>
      <c r="AE15" s="8"/>
      <c r="AF15" s="9"/>
      <c r="AG15" s="6"/>
      <c r="AH15" s="7"/>
      <c r="AI15" s="8"/>
      <c r="AJ15" s="9"/>
      <c r="AK15" s="6"/>
      <c r="AL15" s="7"/>
    </row>
    <row r="16" spans="1:38" x14ac:dyDescent="0.3">
      <c r="A16" s="4">
        <v>12</v>
      </c>
      <c r="B16" s="4" t="s">
        <v>26</v>
      </c>
      <c r="C16" s="4">
        <f t="shared" si="0"/>
        <v>0</v>
      </c>
      <c r="D16" s="5">
        <f t="shared" si="1"/>
        <v>7</v>
      </c>
      <c r="E16" s="4"/>
      <c r="F16" s="4"/>
      <c r="G16" s="4"/>
      <c r="H16" s="5" t="str">
        <f t="shared" si="2"/>
        <v/>
      </c>
      <c r="I16" s="6"/>
      <c r="J16" s="7"/>
      <c r="K16" s="8"/>
      <c r="L16" s="9"/>
      <c r="M16" s="6"/>
      <c r="N16" s="7"/>
      <c r="O16" s="8"/>
      <c r="P16" s="9"/>
      <c r="Q16" s="6"/>
      <c r="R16" s="7"/>
      <c r="S16" s="8"/>
      <c r="T16" s="9"/>
      <c r="U16" s="6"/>
      <c r="V16" s="7"/>
      <c r="W16" s="8"/>
      <c r="X16" s="9"/>
      <c r="Y16" s="6"/>
      <c r="Z16" s="7"/>
      <c r="AA16" s="8"/>
      <c r="AB16" s="9"/>
      <c r="AC16" s="6"/>
      <c r="AD16" s="7"/>
      <c r="AE16" s="8"/>
      <c r="AF16" s="9"/>
      <c r="AG16" s="6"/>
      <c r="AH16" s="7"/>
      <c r="AI16" s="8"/>
      <c r="AJ16" s="9"/>
      <c r="AK16" s="6"/>
      <c r="AL16" s="7"/>
    </row>
    <row r="17" spans="1:38" x14ac:dyDescent="0.3">
      <c r="A17" s="4">
        <v>13</v>
      </c>
      <c r="B17" s="4" t="s">
        <v>27</v>
      </c>
      <c r="C17" s="4">
        <f t="shared" si="0"/>
        <v>0</v>
      </c>
      <c r="D17" s="5">
        <f t="shared" si="1"/>
        <v>7</v>
      </c>
      <c r="E17" s="4"/>
      <c r="F17" s="4"/>
      <c r="G17" s="4"/>
      <c r="H17" s="5" t="str">
        <f t="shared" si="2"/>
        <v/>
      </c>
      <c r="I17" s="6"/>
      <c r="J17" s="7"/>
      <c r="K17" s="8"/>
      <c r="L17" s="9"/>
      <c r="M17" s="6"/>
      <c r="N17" s="7"/>
      <c r="O17" s="8"/>
      <c r="P17" s="9"/>
      <c r="Q17" s="6"/>
      <c r="R17" s="7"/>
      <c r="S17" s="8"/>
      <c r="T17" s="9"/>
      <c r="U17" s="6"/>
      <c r="V17" s="7"/>
      <c r="W17" s="8"/>
      <c r="X17" s="9"/>
      <c r="Y17" s="6"/>
      <c r="Z17" s="7"/>
      <c r="AA17" s="8"/>
      <c r="AB17" s="9"/>
      <c r="AC17" s="6"/>
      <c r="AD17" s="7"/>
      <c r="AE17" s="8"/>
      <c r="AF17" s="9"/>
      <c r="AG17" s="6"/>
      <c r="AH17" s="7"/>
      <c r="AI17" s="8"/>
      <c r="AJ17" s="9"/>
      <c r="AK17" s="6"/>
      <c r="AL17" s="7"/>
    </row>
    <row r="18" spans="1:38" x14ac:dyDescent="0.3">
      <c r="A18" s="4">
        <v>14</v>
      </c>
      <c r="B18" s="4" t="s">
        <v>28</v>
      </c>
      <c r="C18" s="4">
        <f t="shared" si="0"/>
        <v>0</v>
      </c>
      <c r="D18" s="5">
        <f t="shared" si="1"/>
        <v>7</v>
      </c>
      <c r="E18" s="4"/>
      <c r="F18" s="4"/>
      <c r="G18" s="4"/>
      <c r="H18" s="5" t="str">
        <f t="shared" si="2"/>
        <v/>
      </c>
      <c r="I18" s="6"/>
      <c r="J18" s="7"/>
      <c r="K18" s="8"/>
      <c r="L18" s="9"/>
      <c r="M18" s="6"/>
      <c r="N18" s="7"/>
      <c r="O18" s="8"/>
      <c r="P18" s="9"/>
      <c r="Q18" s="6"/>
      <c r="R18" s="7"/>
      <c r="S18" s="8"/>
      <c r="T18" s="9"/>
      <c r="U18" s="6"/>
      <c r="V18" s="7"/>
      <c r="W18" s="8"/>
      <c r="X18" s="9"/>
      <c r="Y18" s="6"/>
      <c r="Z18" s="7"/>
      <c r="AA18" s="8"/>
      <c r="AB18" s="9"/>
      <c r="AC18" s="6"/>
      <c r="AD18" s="7"/>
      <c r="AE18" s="8"/>
      <c r="AF18" s="9"/>
      <c r="AG18" s="6"/>
      <c r="AH18" s="7"/>
      <c r="AI18" s="8"/>
      <c r="AJ18" s="9"/>
      <c r="AK18" s="6"/>
      <c r="AL18" s="7"/>
    </row>
    <row r="19" spans="1:38" x14ac:dyDescent="0.3">
      <c r="A19" s="4">
        <v>15</v>
      </c>
      <c r="B19" s="4" t="s">
        <v>29</v>
      </c>
      <c r="C19" s="4">
        <f t="shared" si="0"/>
        <v>0</v>
      </c>
      <c r="D19" s="5">
        <f t="shared" si="1"/>
        <v>7</v>
      </c>
      <c r="E19" s="4"/>
      <c r="F19" s="4"/>
      <c r="G19" s="4"/>
      <c r="H19" s="5" t="str">
        <f t="shared" si="2"/>
        <v/>
      </c>
      <c r="I19" s="6"/>
      <c r="J19" s="7"/>
      <c r="K19" s="8"/>
      <c r="L19" s="9"/>
      <c r="M19" s="6"/>
      <c r="N19" s="7"/>
      <c r="O19" s="8"/>
      <c r="P19" s="9"/>
      <c r="Q19" s="6"/>
      <c r="R19" s="7"/>
      <c r="S19" s="8"/>
      <c r="T19" s="9"/>
      <c r="U19" s="6"/>
      <c r="V19" s="7"/>
      <c r="W19" s="8"/>
      <c r="X19" s="9"/>
      <c r="Y19" s="6"/>
      <c r="Z19" s="7"/>
      <c r="AA19" s="8"/>
      <c r="AB19" s="9"/>
      <c r="AC19" s="6"/>
      <c r="AD19" s="7"/>
      <c r="AE19" s="8"/>
      <c r="AF19" s="9"/>
      <c r="AG19" s="6"/>
      <c r="AH19" s="7"/>
      <c r="AI19" s="8"/>
      <c r="AJ19" s="9"/>
      <c r="AK19" s="6"/>
      <c r="AL19" s="7"/>
    </row>
    <row r="20" spans="1:38" x14ac:dyDescent="0.3">
      <c r="A20" s="4">
        <v>16</v>
      </c>
      <c r="B20" s="4" t="s">
        <v>30</v>
      </c>
      <c r="C20" s="4">
        <f t="shared" si="0"/>
        <v>0</v>
      </c>
      <c r="D20" s="5">
        <f t="shared" si="1"/>
        <v>7</v>
      </c>
      <c r="E20" s="4"/>
      <c r="F20" s="4"/>
      <c r="G20" s="4"/>
      <c r="H20" s="5" t="str">
        <f t="shared" si="2"/>
        <v/>
      </c>
      <c r="I20" s="6"/>
      <c r="J20" s="7"/>
      <c r="K20" s="8"/>
      <c r="L20" s="9"/>
      <c r="M20" s="6"/>
      <c r="N20" s="7"/>
      <c r="O20" s="8"/>
      <c r="P20" s="9"/>
      <c r="Q20" s="6"/>
      <c r="R20" s="7"/>
      <c r="S20" s="8"/>
      <c r="T20" s="9"/>
      <c r="U20" s="6"/>
      <c r="V20" s="7"/>
      <c r="W20" s="8"/>
      <c r="X20" s="9"/>
      <c r="Y20" s="6"/>
      <c r="Z20" s="7"/>
      <c r="AA20" s="8"/>
      <c r="AB20" s="9"/>
      <c r="AC20" s="6"/>
      <c r="AD20" s="7"/>
      <c r="AE20" s="8"/>
      <c r="AF20" s="9"/>
      <c r="AG20" s="6"/>
      <c r="AH20" s="7"/>
      <c r="AI20" s="8"/>
      <c r="AJ20" s="9"/>
      <c r="AK20" s="6"/>
      <c r="AL20" s="7"/>
    </row>
    <row r="21" spans="1:38" x14ac:dyDescent="0.3">
      <c r="A21" s="4">
        <v>17</v>
      </c>
      <c r="B21" s="4" t="s">
        <v>31</v>
      </c>
      <c r="C21" s="4">
        <f t="shared" si="0"/>
        <v>0</v>
      </c>
      <c r="D21" s="5">
        <f t="shared" si="1"/>
        <v>7</v>
      </c>
      <c r="E21" s="4"/>
      <c r="F21" s="4"/>
      <c r="G21" s="4"/>
      <c r="H21" s="5" t="str">
        <f t="shared" si="2"/>
        <v/>
      </c>
      <c r="I21" s="6"/>
      <c r="J21" s="7"/>
      <c r="K21" s="8"/>
      <c r="L21" s="9"/>
      <c r="M21" s="6"/>
      <c r="N21" s="7"/>
      <c r="O21" s="8"/>
      <c r="P21" s="9"/>
      <c r="Q21" s="6"/>
      <c r="R21" s="7"/>
      <c r="S21" s="8"/>
      <c r="T21" s="9"/>
      <c r="U21" s="6"/>
      <c r="V21" s="7"/>
      <c r="W21" s="8"/>
      <c r="X21" s="9"/>
      <c r="Y21" s="6"/>
      <c r="Z21" s="7"/>
      <c r="AA21" s="8"/>
      <c r="AB21" s="9"/>
      <c r="AC21" s="6"/>
      <c r="AD21" s="7"/>
      <c r="AE21" s="8"/>
      <c r="AF21" s="9"/>
      <c r="AG21" s="6"/>
      <c r="AH21" s="7"/>
      <c r="AI21" s="8"/>
      <c r="AJ21" s="9"/>
      <c r="AK21" s="6"/>
      <c r="AL21" s="7"/>
    </row>
  </sheetData>
  <mergeCells count="1">
    <mergeCell ref="A1:H1"/>
  </mergeCells>
  <conditionalFormatting sqref="D5:D21">
    <cfRule type="cellIs" dxfId="2" priority="1" operator="lessThan">
      <formula>0</formula>
    </cfRule>
    <cfRule type="cellIs" dxfId="1" priority="2" operator="between">
      <formula>1</formula>
      <formula>3</formula>
    </cfRule>
    <cfRule type="cellIs" dxfId="0" priority="3" operator="greaterThan">
      <formula>3</formula>
    </cfRule>
  </conditionalFormatting>
  <dataValidations count="2">
    <dataValidation type="list" allowBlank="1" prompt="Επιλέξτε αριθμό απουσιών (1-3)" sqref="J5 J6 J7 J8 J9 J10 J11 J12 J13 J14 J15 J16 J17 J18 J19 J20 J21 L5 L6 L7 L8 L9 L10 L11 L12 L13 L14 L15 L16 L17 L18 L19 L20 L21 N5 N6 N7 N8 N9 N10 N11 N12 N13 N14 N15 N16 N17 N18 N19 N20 N21 P5 P6 P7 P8 P9 P10 P11 P12 P13 P14 P15 P16 P17 P18 P19 P20 P21 R5 R6 R7 R8 R9 R10 R11 R12 R13 R14 R15 R16 R17 R18 R19 R20 R21 T5 T6 T7 T8 T9 T10 T11 T12 T13 T14 T15 T16 T17 T18 T19 T20 T21 V5 V6 V7 V8 V9 V10 V11 V12 V13 V14 V15 V16 V17 V18 V19 V20 V21 X5 X6 X7 X8 X9 X10 X11 X12 X13 X14 X15 X16 X17 X18 X19 X20 X21 Z5 Z6 Z7 Z8 Z9 Z10 Z11 Z12 Z13 Z14 Z15 Z16 Z17 Z18 Z19 Z20 Z21 AB5 AB6 AB7 AB8 AB9 AB10 AB11 AB12 AB13 AB14 AB15 AB16 AB17 AB18 AB19 AB20 AB21 AD5 AD6 AD7 AD8 AD9 AD10 AD11 AD12 AD13 AD14 AD15 AD16 AD17 AD18 AD19 AD20 AD21 AF5 AF6 AF7 AF8 AF9 AF10 AF11 AF12 AF13 AF14 AF15 AF16 AF17 AF18 AF19 AF20 AF21 AH5 AH6 AH7 AH8 AH9 AH10 AH11 AH12 AH13 AH14 AH15 AH16 AH17 AH18 AH19 AH20 AH21 AJ5 AJ6 AJ7 AJ8 AJ9 AJ10 AJ11 AJ12 AJ13 AJ14 AJ15 AJ16 AJ17 AJ18 AJ19 AJ20 AJ21 AL5 AL6 AL7 AL8 AL9 AL10 AL11 AL12 AL13 AL14 AL15 AL16 AL17 AL18 AL19 AL20 AL21" xr:uid="{00000000-0002-0000-0400-000000000000}">
      <formula1>"1,2,3"</formula1>
    </dataValidation>
    <dataValidation type="date" operator="greaterThan" allowBlank="1" prompt="Κλικ για popup ημερολόγιο" sqref="I5 I6 I7 I8 I9 I10 I11 I12 I13 I14 I15 I16 I17 I18 I19 I20 I21 K5 K6 K7 K8 K9 K10 K11 K12 K13 K14 K15 K16 K17 K18 K19 K20 K21 M5 M6 M7 M8 M9 M10 M11 M12 M13 M14 M15 M16 M17 M18 M19 M20 M21 O5 O6 O7 O8 O9 O10 O11 O12 O13 O14 O15 O16 O17 O18 O19 O20 O21 Q5 Q6 Q7 Q8 Q9 Q10 Q11 Q12 Q13 Q14 Q15 Q16 Q17 Q18 Q19 Q20 Q21 S5 S6 S7 S8 S9 S10 S11 S12 S13 S14 S15 S16 S17 S18 S19 S20 S21 U5 U6 U7 U8 U9 U10 U11 U12 U13 U14 U15 U16 U17 U18 U19 U20 U21 W5 W6 W7 W8 W9 W10 W11 W12 W13 W14 W15 W16 W17 W18 W19 W20 W21 Y5 Y6 Y7 Y8 Y9 Y10 Y11 Y12 Y13 Y14 Y15 Y16 Y17 Y18 Y19 Y20 Y21 AA5 AA6 AA7 AA8 AA9 AA10 AA11 AA12 AA13 AA14 AA15 AA16 AA17 AA18 AA19 AA20 AA21 AC5 AC6 AC7 AC8 AC9 AC10 AC11 AC12 AC13 AC14 AC15 AC16 AC17 AC18 AC19 AC20 AC21 AE5 AE6 AE7 AE8 AE9 AE10 AE11 AE12 AE13 AE14 AE15 AE16 AE17 AE18 AE19 AE20 AE21 AG5 AG6 AG7 AG8 AG9 AG10 AG11 AG12 AG13 AG14 AG15 AG16 AG17 AG18 AG19 AG20 AG21 AI5 AI6 AI7 AI8 AI9 AI10 AI11 AI12 AI13 AI14 AI15 AI16 AI17 AI18 AI19 AI20 AI21 AK5 AK6 AK7 AK8 AK9 AK10 AK11 AK12 AK13 AK14 AK15 AK16 AK17 AK18 AK19 AK20 AK21" xr:uid="{00000000-0002-0000-0400-000001000000}">
      <formula1>DATE(2024,1,1)</formula1>
    </dataValidation>
  </dataValidation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ΣΥΝΟΨΗ</vt:lpstr>
      <vt:lpstr>ΗΛΕΚΤΡΟΝΙΚΕΣ ΜΕΤΡΗΣΕΙΣ</vt:lpstr>
      <vt:lpstr>ΣΥΣΤΗΜΑΤΑ ΑΣΦΑΛΕΙΑΣ</vt:lpstr>
      <vt:lpstr>ΔΙΚΤΥΑ ΥΠΟΛΟΓΙΣΤΩΝ</vt:lpstr>
      <vt:lpstr>ΠΡΑΚΤΙΚΗ ΕΦΑΡΜΟΓΗ</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Spyros Perdikakis</cp:lastModifiedBy>
  <dcterms:created xsi:type="dcterms:W3CDTF">2026-02-13T09:24:44Z</dcterms:created>
  <dcterms:modified xsi:type="dcterms:W3CDTF">2026-02-15T05:55:11Z</dcterms:modified>
</cp:coreProperties>
</file>